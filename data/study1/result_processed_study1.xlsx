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SQLite" sheetId="2" r:id="rId6"/>
    <sheet state="visible" name="Realm" sheetId="3" r:id="rId7"/>
    <sheet state="visible" name="ObjectBox" sheetId="4" r:id="rId8"/>
    <sheet state="visible" name="Room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tc={548a4ba2-3c39-4c1b-b0b4-e5983185ba70}</author>
    <author>tc={80f26377-79fd-4b1b-9f0e-515eaea1043e}</author>
  </authors>
  <commentList>
    <comment authorId="0" xr:uid="{548a4ba2-3c39-4c1b-b0b4-e5983185ba70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Átomos/LOC
</t>
      </text>
    </comment>
    <comment authorId="1" xr:uid="{80f26377-79fd-4b1b-9f0e-515eaea1043e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Arq Com Átomos / Arquivos Totais * 100 pra porcentagem
</t>
      </text>
    </comment>
  </commentList>
</comments>
</file>

<file path=xl/sharedStrings.xml><?xml version="1.0" encoding="utf-8"?>
<sst xmlns="http://schemas.openxmlformats.org/spreadsheetml/2006/main" count="289" uniqueCount="43">
  <si>
    <t>Biblioteca</t>
  </si>
  <si>
    <t>Linguagem</t>
  </si>
  <si>
    <t>Arquivos</t>
  </si>
  <si>
    <t>Linhas de Código</t>
  </si>
  <si>
    <t>Classes</t>
  </si>
  <si>
    <t>Linhas Duplicadas</t>
  </si>
  <si>
    <t>Duplicação</t>
  </si>
  <si>
    <t>Qtd. Átomos</t>
  </si>
  <si>
    <t>Densidade</t>
  </si>
  <si>
    <t>Arq. com Átomos</t>
  </si>
  <si>
    <t>Átomos/Arquivos</t>
  </si>
  <si>
    <t>Propagação</t>
  </si>
  <si>
    <t>Assignment as Value</t>
  </si>
  <si>
    <t>Comma Operator</t>
  </si>
  <si>
    <t>Conditional Operator</t>
  </si>
  <si>
    <t>Implicit Predicate</t>
  </si>
  <si>
    <t>Literal Encoding</t>
  </si>
  <si>
    <t>Logic as Control Flow</t>
  </si>
  <si>
    <t>Macro Operator Precedence</t>
  </si>
  <si>
    <t>Ommited Curly Braces</t>
  </si>
  <si>
    <t>Infix Operator Precedence</t>
  </si>
  <si>
    <t>Post Increment</t>
  </si>
  <si>
    <t>Pre-Increment</t>
  </si>
  <si>
    <t>Preprocessor in Statement</t>
  </si>
  <si>
    <t>Repurposed Variable</t>
  </si>
  <si>
    <t>Type Conversion</t>
  </si>
  <si>
    <t>SQLite</t>
  </si>
  <si>
    <t>Java</t>
  </si>
  <si>
    <t>16.15%</t>
  </si>
  <si>
    <t>C / C++</t>
  </si>
  <si>
    <t>9.31%</t>
  </si>
  <si>
    <t>Kotlin</t>
  </si>
  <si>
    <t>--</t>
  </si>
  <si>
    <t>Realm</t>
  </si>
  <si>
    <t>34.95%</t>
  </si>
  <si>
    <t>23.77%</t>
  </si>
  <si>
    <t>ObjectBox</t>
  </si>
  <si>
    <t>21.55%</t>
  </si>
  <si>
    <t>Room</t>
  </si>
  <si>
    <t>48.05%</t>
  </si>
  <si>
    <t>Média Átomos/Arquivo</t>
  </si>
  <si>
    <t>-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</si>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</sst>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4" xfId="0" applyAlignment="1" applyBorder="1" applyFont="1" applyNumberFormat="1">
      <alignment horizontal="center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1" fillId="0" fontId="3" numFmtId="3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4" xfId="0" applyAlignment="1" applyBorder="1" applyFont="1" applyNumberFormat="1">
      <alignment horizontal="center" readingOrder="0" shrinkToFit="0" wrapText="0"/>
    </xf>
    <xf borderId="1" fillId="0" fontId="3" numFmtId="10" xfId="0" applyAlignment="1" applyBorder="1" applyFont="1" applyNumberFormat="1">
      <alignment horizontal="center" readingOrder="0" shrinkToFit="0" wrapText="0"/>
    </xf>
    <xf borderId="1" fillId="0" fontId="3" numFmtId="3" xfId="0" applyAlignment="1" applyBorder="1" applyFont="1" applyNumberFormat="1">
      <alignment horizontal="center" readingOrder="0" shrinkToFit="0" wrapText="0"/>
    </xf>
    <xf borderId="0" fillId="0" fontId="4" numFmtId="3" xfId="0" applyFont="1" applyNumberFormat="1"/>
    <xf borderId="1" fillId="3" fontId="2" numFmtId="0" xfId="0" applyAlignment="1" applyBorder="1" applyFill="1" applyFont="1">
      <alignment readingOrder="0" shrinkToFit="0" wrapText="0"/>
    </xf>
    <xf borderId="1" fillId="3" fontId="3" numFmtId="0" xfId="0" applyAlignment="1" applyBorder="1" applyFont="1">
      <alignment readingOrder="0" shrinkToFit="0" wrapText="0"/>
    </xf>
    <xf borderId="1" fillId="3" fontId="3" numFmtId="3" xfId="0" applyAlignment="1" applyBorder="1" applyFont="1" applyNumberForma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3" fontId="3" numFmtId="4" xfId="0" applyAlignment="1" applyBorder="1" applyFont="1" applyNumberFormat="1">
      <alignment horizontal="center" readingOrder="0" shrinkToFit="0" wrapText="0"/>
    </xf>
    <xf borderId="1" fillId="3" fontId="3" numFmtId="10" xfId="0" applyAlignment="1" applyBorder="1" applyFont="1" applyNumberFormat="1">
      <alignment horizontal="center" readingOrder="0" shrinkToFit="0" wrapText="0"/>
    </xf>
    <xf borderId="1" fillId="3" fontId="3" numFmtId="3" xfId="0" applyAlignment="1" applyBorder="1" applyFont="1" applyNumberFormat="1">
      <alignment horizontal="center" readingOrder="0" shrinkToFit="0" wrapText="0"/>
    </xf>
    <xf borderId="1" fillId="3" fontId="4" numFmtId="0" xfId="0" applyAlignment="1" applyBorder="1" applyFont="1">
      <alignment readingOrder="0"/>
    </xf>
    <xf borderId="0" fillId="3" fontId="5" numFmtId="0" xfId="0" applyFont="1"/>
    <xf borderId="1" fillId="0" fontId="4" numFmtId="0" xfId="0" applyAlignment="1" applyBorder="1" applyFont="1">
      <alignment readingOrder="0"/>
    </xf>
    <xf borderId="1" fillId="3" fontId="3" numFmtId="9" xfId="0" applyAlignment="1" applyBorder="1" applyFont="1" applyNumberFormat="1">
      <alignment horizontal="center" readingOrder="0" shrinkToFit="0" wrapText="0"/>
    </xf>
    <xf borderId="0" fillId="0" fontId="5" numFmtId="3" xfId="0" applyFont="1" applyNumberFormat="1"/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ulie Medeiros" id="{7049bc93-f7bb-4587-909e-7b41bc4cb47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5-12-23T01:10:36.00" personId="{7049bc93-f7bb-4587-909e-7b41bc4cb47e}" id="{80f26377-79fd-4b1b-9f0e-515eaea1043e}" done="0">
    <x18tc:text xml:space="preserve">Arq Com Átomos / Arquivos Totais * 100 pra porcentagem</x18tc:text>
  </x18tc:threadedComment>
  <x18tc:threadedComment ref="I1" dT="2025-12-23T01:01:44.00" personId="{7049bc93-f7bb-4587-909e-7b41bc4cb47e}" id="{548a4ba2-3c39-4c1b-b0b4-e5983185ba70}" done="0">
    <x18tc:text xml:space="preserve">Átomos/LOC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9.88"/>
    <col customWidth="1" min="3" max="3" width="8.25"/>
    <col customWidth="1" min="4" max="4" width="15.0"/>
    <col customWidth="1" min="5" max="5" width="7.25"/>
    <col customWidth="1" min="6" max="6" width="15.75"/>
    <col customWidth="1" min="7" max="7" width="9.88"/>
    <col customWidth="1" min="8" max="8" width="11.0"/>
    <col customWidth="1" min="9" max="9" width="9.38"/>
    <col customWidth="1" min="10" max="11" width="14.88"/>
    <col customWidth="1" min="12" max="12" width="10.5"/>
    <col customWidth="1" min="13" max="13" width="17.63"/>
    <col customWidth="1" min="14" max="14" width="14.63"/>
    <col customWidth="1" min="15" max="15" width="17.63"/>
    <col customWidth="1" min="16" max="16" width="14.75"/>
    <col customWidth="1" min="17" max="17" width="14.0"/>
    <col customWidth="1" min="18" max="18" width="18.38"/>
    <col customWidth="1" min="19" max="19" width="23.25"/>
    <col customWidth="1" min="20" max="20" width="19.0"/>
    <col customWidth="1" min="21" max="21" width="21.75"/>
    <col customWidth="1" min="22" max="22" width="13.0"/>
    <col customWidth="1" min="23" max="23" width="12.25"/>
    <col customWidth="1" min="24" max="24" width="22.25"/>
    <col customWidth="1" min="25" max="25" width="17.63"/>
    <col customWidth="1" min="26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3" t="s">
        <v>26</v>
      </c>
      <c r="B2" s="4" t="s">
        <v>27</v>
      </c>
      <c r="C2" s="5">
        <v>58.0</v>
      </c>
      <c r="D2" s="5">
        <v>12096.0</v>
      </c>
      <c r="E2" s="5">
        <v>191.0</v>
      </c>
      <c r="F2" s="5">
        <v>1935.0</v>
      </c>
      <c r="G2" s="6" t="s">
        <v>28</v>
      </c>
      <c r="H2" s="5">
        <v>100.0</v>
      </c>
      <c r="I2" s="7">
        <f t="shared" ref="I2:I3" si="1">TRUNC(H2/(D2/1000),2)</f>
        <v>8.26</v>
      </c>
      <c r="J2" s="6">
        <v>12.0</v>
      </c>
      <c r="K2" s="7">
        <f t="shared" ref="K2:K3" si="2">H2/C2</f>
        <v>1.724137931</v>
      </c>
      <c r="L2" s="8">
        <f t="shared" ref="L2:L3" si="3">J2/C2</f>
        <v>0.2068965517</v>
      </c>
      <c r="M2" s="9">
        <v>0.0</v>
      </c>
      <c r="N2" s="9">
        <v>0.0</v>
      </c>
      <c r="O2" s="9">
        <v>66.0</v>
      </c>
      <c r="P2" s="9">
        <v>0.0</v>
      </c>
      <c r="Q2" s="9">
        <v>0.0</v>
      </c>
      <c r="R2" s="9">
        <v>21.0</v>
      </c>
      <c r="S2" s="9">
        <v>0.0</v>
      </c>
      <c r="T2" s="9">
        <v>0.0</v>
      </c>
      <c r="U2" s="9">
        <v>0.0</v>
      </c>
      <c r="V2" s="9">
        <v>12.0</v>
      </c>
      <c r="W2" s="9">
        <v>0.0</v>
      </c>
      <c r="X2" s="9">
        <v>0.0</v>
      </c>
      <c r="Y2" s="9">
        <v>0.0</v>
      </c>
      <c r="Z2" s="9">
        <v>1.0</v>
      </c>
      <c r="AA2" s="10">
        <f t="shared" ref="AA2:AA13" si="4">SUM(M2:Z2)</f>
        <v>100</v>
      </c>
    </row>
    <row r="3">
      <c r="A3" s="11" t="s">
        <v>26</v>
      </c>
      <c r="B3" s="12" t="s">
        <v>29</v>
      </c>
      <c r="C3" s="13">
        <v>351.0</v>
      </c>
      <c r="D3" s="13">
        <v>391780.0</v>
      </c>
      <c r="E3" s="13">
        <v>2742.0</v>
      </c>
      <c r="F3" s="13">
        <v>36360.0</v>
      </c>
      <c r="G3" s="14" t="s">
        <v>30</v>
      </c>
      <c r="H3" s="13">
        <v>18002.0</v>
      </c>
      <c r="I3" s="15">
        <f t="shared" si="1"/>
        <v>45.94</v>
      </c>
      <c r="J3" s="14">
        <v>245.0</v>
      </c>
      <c r="K3" s="15">
        <f t="shared" si="2"/>
        <v>51.28774929</v>
      </c>
      <c r="L3" s="16">
        <f t="shared" si="3"/>
        <v>0.698005698</v>
      </c>
      <c r="M3" s="17">
        <v>843.0</v>
      </c>
      <c r="N3" s="17">
        <v>368.0</v>
      </c>
      <c r="O3" s="17">
        <v>1312.0</v>
      </c>
      <c r="P3" s="17">
        <v>2826.0</v>
      </c>
      <c r="Q3" s="17">
        <v>9.0</v>
      </c>
      <c r="R3" s="17">
        <v>165.0</v>
      </c>
      <c r="S3" s="17">
        <v>22.0</v>
      </c>
      <c r="T3" s="17">
        <v>6719.0</v>
      </c>
      <c r="U3" s="17">
        <v>3699.0</v>
      </c>
      <c r="V3" s="17">
        <v>859.0</v>
      </c>
      <c r="W3" s="17">
        <v>344.0</v>
      </c>
      <c r="X3" s="17">
        <v>298.0</v>
      </c>
      <c r="Y3" s="17">
        <v>436.0</v>
      </c>
      <c r="Z3" s="17">
        <v>102.0</v>
      </c>
      <c r="AA3" s="10">
        <f t="shared" si="4"/>
        <v>18002</v>
      </c>
    </row>
    <row r="4">
      <c r="A4" s="3" t="s">
        <v>26</v>
      </c>
      <c r="B4" s="4" t="s">
        <v>31</v>
      </c>
      <c r="C4" s="5">
        <v>0.0</v>
      </c>
      <c r="D4" s="5">
        <v>0.0</v>
      </c>
      <c r="E4" s="5">
        <v>0.0</v>
      </c>
      <c r="F4" s="5">
        <v>0.0</v>
      </c>
      <c r="G4" s="8">
        <v>0.0</v>
      </c>
      <c r="H4" s="5">
        <v>0.0</v>
      </c>
      <c r="I4" s="7">
        <v>0.0</v>
      </c>
      <c r="J4" s="6" t="s">
        <v>32</v>
      </c>
      <c r="K4" s="7" t="s">
        <v>32</v>
      </c>
      <c r="L4" s="6" t="s">
        <v>32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10">
        <f t="shared" si="4"/>
        <v>0</v>
      </c>
    </row>
    <row r="5">
      <c r="A5" s="18" t="s">
        <v>33</v>
      </c>
      <c r="B5" s="12" t="s">
        <v>27</v>
      </c>
      <c r="C5" s="13">
        <v>676.0</v>
      </c>
      <c r="D5" s="13">
        <v>140353.0</v>
      </c>
      <c r="E5" s="13">
        <v>1559.0</v>
      </c>
      <c r="F5" s="13">
        <v>46856.0</v>
      </c>
      <c r="G5" s="14" t="s">
        <v>34</v>
      </c>
      <c r="H5" s="13">
        <v>1018.0</v>
      </c>
      <c r="I5" s="14">
        <f t="shared" ref="I5:I6" si="5">TRUNC(H5/(D5/1000),2)</f>
        <v>7.25</v>
      </c>
      <c r="J5" s="14">
        <v>147.0</v>
      </c>
      <c r="K5" s="15">
        <f t="shared" ref="K5:K6" si="6">H5/C5</f>
        <v>1.50591716</v>
      </c>
      <c r="L5" s="16">
        <f t="shared" ref="L5:L6" si="7">J5/C5</f>
        <v>0.2174556213</v>
      </c>
      <c r="M5" s="17">
        <v>0.0</v>
      </c>
      <c r="N5" s="17">
        <v>0.0</v>
      </c>
      <c r="O5" s="17">
        <v>377.0</v>
      </c>
      <c r="P5" s="17">
        <v>0.0</v>
      </c>
      <c r="Q5" s="17">
        <v>0.0</v>
      </c>
      <c r="R5" s="17">
        <v>431.0</v>
      </c>
      <c r="S5" s="17">
        <v>0.0</v>
      </c>
      <c r="T5" s="17">
        <v>0.0</v>
      </c>
      <c r="U5" s="17">
        <v>116.0</v>
      </c>
      <c r="V5" s="17">
        <v>42.0</v>
      </c>
      <c r="W5" s="17">
        <v>4.0</v>
      </c>
      <c r="X5" s="17">
        <v>0.0</v>
      </c>
      <c r="Y5" s="17">
        <v>0.0</v>
      </c>
      <c r="Z5" s="17">
        <v>48.0</v>
      </c>
      <c r="AA5" s="10">
        <f t="shared" si="4"/>
        <v>1018</v>
      </c>
      <c r="AB5" s="19"/>
      <c r="AC5" s="19"/>
      <c r="AD5" s="19"/>
    </row>
    <row r="6">
      <c r="A6" s="20" t="s">
        <v>33</v>
      </c>
      <c r="B6" s="4" t="s">
        <v>29</v>
      </c>
      <c r="C6" s="5">
        <v>64.0</v>
      </c>
      <c r="D6" s="5">
        <v>12848.0</v>
      </c>
      <c r="E6" s="5">
        <v>6.0</v>
      </c>
      <c r="F6" s="5">
        <v>3649.0</v>
      </c>
      <c r="G6" s="6" t="s">
        <v>35</v>
      </c>
      <c r="H6" s="5">
        <v>130.0</v>
      </c>
      <c r="I6" s="6">
        <f t="shared" si="5"/>
        <v>10.11</v>
      </c>
      <c r="J6" s="6">
        <v>25.0</v>
      </c>
      <c r="K6" s="7">
        <f t="shared" si="6"/>
        <v>2.03125</v>
      </c>
      <c r="L6" s="8">
        <f t="shared" si="7"/>
        <v>0.390625</v>
      </c>
      <c r="M6" s="9">
        <v>0.0</v>
      </c>
      <c r="N6" s="9">
        <v>1.0</v>
      </c>
      <c r="O6" s="9">
        <v>59.0</v>
      </c>
      <c r="P6" s="9">
        <v>0.0</v>
      </c>
      <c r="Q6" s="9">
        <v>0.0</v>
      </c>
      <c r="R6" s="9">
        <v>0.0</v>
      </c>
      <c r="S6" s="9">
        <v>2.0</v>
      </c>
      <c r="T6" s="9">
        <v>15.0</v>
      </c>
      <c r="U6" s="9">
        <v>33.0</v>
      </c>
      <c r="V6" s="9">
        <v>15.0</v>
      </c>
      <c r="W6" s="9">
        <v>0.0</v>
      </c>
      <c r="X6" s="9">
        <v>5.0</v>
      </c>
      <c r="Y6" s="9">
        <v>0.0</v>
      </c>
      <c r="Z6" s="9">
        <v>0.0</v>
      </c>
      <c r="AA6" s="10">
        <f t="shared" si="4"/>
        <v>130</v>
      </c>
    </row>
    <row r="7">
      <c r="A7" s="18" t="s">
        <v>33</v>
      </c>
      <c r="B7" s="12" t="s">
        <v>31</v>
      </c>
      <c r="C7" s="13">
        <v>212.0</v>
      </c>
      <c r="D7" s="13">
        <v>43764.0</v>
      </c>
      <c r="E7" s="13">
        <v>653.0</v>
      </c>
      <c r="F7" s="13">
        <v>0.0</v>
      </c>
      <c r="G7" s="16">
        <v>0.0</v>
      </c>
      <c r="H7" s="13">
        <v>0.0</v>
      </c>
      <c r="I7" s="14">
        <v>0.0</v>
      </c>
      <c r="J7" s="14" t="s">
        <v>32</v>
      </c>
      <c r="K7" s="15" t="s">
        <v>32</v>
      </c>
      <c r="L7" s="14" t="s">
        <v>32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  <c r="V7" s="17">
        <v>0.0</v>
      </c>
      <c r="W7" s="17">
        <v>0.0</v>
      </c>
      <c r="X7" s="17">
        <v>0.0</v>
      </c>
      <c r="Y7" s="17">
        <v>0.0</v>
      </c>
      <c r="Z7" s="17">
        <v>0.0</v>
      </c>
      <c r="AA7" s="10">
        <f t="shared" si="4"/>
        <v>0</v>
      </c>
      <c r="AB7" s="19"/>
      <c r="AC7" s="19"/>
      <c r="AD7" s="19"/>
    </row>
    <row r="8">
      <c r="A8" s="20" t="s">
        <v>36</v>
      </c>
      <c r="B8" s="4" t="s">
        <v>27</v>
      </c>
      <c r="C8" s="5">
        <v>299.0</v>
      </c>
      <c r="D8" s="5">
        <v>37775.0</v>
      </c>
      <c r="E8" s="5">
        <v>466.0</v>
      </c>
      <c r="F8" s="5">
        <v>7717.0</v>
      </c>
      <c r="G8" s="6" t="s">
        <v>37</v>
      </c>
      <c r="H8" s="5">
        <v>614.0</v>
      </c>
      <c r="I8" s="6">
        <f>TRUNC(H8/(D8/1000),2)</f>
        <v>16.25</v>
      </c>
      <c r="J8" s="6">
        <v>76.0</v>
      </c>
      <c r="K8" s="7">
        <f>H8/C8</f>
        <v>2.053511706</v>
      </c>
      <c r="L8" s="8">
        <f>J8/C8</f>
        <v>0.254180602</v>
      </c>
      <c r="M8" s="9">
        <v>0.0</v>
      </c>
      <c r="N8" s="9">
        <v>0.0</v>
      </c>
      <c r="O8" s="9">
        <v>228.0</v>
      </c>
      <c r="P8" s="9">
        <v>0.0</v>
      </c>
      <c r="Q8" s="9">
        <v>1.0</v>
      </c>
      <c r="R8" s="9">
        <v>74.0</v>
      </c>
      <c r="S8" s="9">
        <v>0.0</v>
      </c>
      <c r="T8" s="9">
        <v>7.0</v>
      </c>
      <c r="U8" s="9">
        <v>35.0</v>
      </c>
      <c r="V8" s="9">
        <v>74.0</v>
      </c>
      <c r="W8" s="9">
        <v>46.0</v>
      </c>
      <c r="X8" s="9">
        <v>0.0</v>
      </c>
      <c r="Y8" s="9">
        <v>0.0</v>
      </c>
      <c r="Z8" s="9">
        <v>149.0</v>
      </c>
      <c r="AA8" s="10">
        <f t="shared" si="4"/>
        <v>614</v>
      </c>
    </row>
    <row r="9">
      <c r="A9" s="18" t="s">
        <v>36</v>
      </c>
      <c r="B9" s="12" t="s">
        <v>29</v>
      </c>
      <c r="C9" s="13">
        <v>0.0</v>
      </c>
      <c r="D9" s="13">
        <v>0.0</v>
      </c>
      <c r="E9" s="13">
        <v>0.0</v>
      </c>
      <c r="F9" s="13">
        <v>0.0</v>
      </c>
      <c r="G9" s="21">
        <v>0.0</v>
      </c>
      <c r="H9" s="13">
        <v>0.0</v>
      </c>
      <c r="I9" s="14">
        <v>0.0</v>
      </c>
      <c r="J9" s="14">
        <v>0.0</v>
      </c>
      <c r="K9" s="15">
        <v>0.0</v>
      </c>
      <c r="L9" s="14">
        <v>0.0</v>
      </c>
      <c r="M9" s="17">
        <v>0.0</v>
      </c>
      <c r="N9" s="17">
        <v>0.0</v>
      </c>
      <c r="O9" s="17">
        <v>0.0</v>
      </c>
      <c r="P9" s="17">
        <v>0.0</v>
      </c>
      <c r="Q9" s="17">
        <v>0.0</v>
      </c>
      <c r="R9" s="17">
        <v>0.0</v>
      </c>
      <c r="S9" s="17">
        <v>0.0</v>
      </c>
      <c r="T9" s="17">
        <v>0.0</v>
      </c>
      <c r="U9" s="17">
        <v>0.0</v>
      </c>
      <c r="V9" s="17">
        <v>0.0</v>
      </c>
      <c r="W9" s="17">
        <v>0.0</v>
      </c>
      <c r="X9" s="17">
        <v>0.0</v>
      </c>
      <c r="Y9" s="17">
        <v>0.0</v>
      </c>
      <c r="Z9" s="17">
        <v>0.0</v>
      </c>
      <c r="AA9" s="10">
        <f t="shared" si="4"/>
        <v>0</v>
      </c>
      <c r="AB9" s="19"/>
      <c r="AC9" s="19"/>
      <c r="AD9" s="19"/>
    </row>
    <row r="10">
      <c r="A10" s="20" t="s">
        <v>36</v>
      </c>
      <c r="B10" s="4" t="s">
        <v>31</v>
      </c>
      <c r="C10" s="5">
        <v>13.0</v>
      </c>
      <c r="D10" s="5">
        <v>753.0</v>
      </c>
      <c r="E10" s="5">
        <v>4.0</v>
      </c>
      <c r="F10" s="5">
        <v>0.0</v>
      </c>
      <c r="G10" s="8">
        <v>0.0</v>
      </c>
      <c r="H10" s="5">
        <v>0.0</v>
      </c>
      <c r="I10" s="6">
        <v>0.0</v>
      </c>
      <c r="J10" s="6" t="s">
        <v>32</v>
      </c>
      <c r="K10" s="7" t="s">
        <v>32</v>
      </c>
      <c r="L10" s="6" t="s">
        <v>32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10">
        <f t="shared" si="4"/>
        <v>0</v>
      </c>
    </row>
    <row r="11">
      <c r="A11" s="18" t="s">
        <v>38</v>
      </c>
      <c r="B11" s="12" t="s">
        <v>27</v>
      </c>
      <c r="C11" s="13">
        <v>95.0</v>
      </c>
      <c r="D11" s="13">
        <v>3462.0</v>
      </c>
      <c r="E11" s="13">
        <v>133.0</v>
      </c>
      <c r="F11" s="13">
        <v>1465.0</v>
      </c>
      <c r="G11" s="14" t="s">
        <v>39</v>
      </c>
      <c r="H11" s="13">
        <v>37.0</v>
      </c>
      <c r="I11" s="14">
        <f>TRUNC(H11/(D11/1000),2)</f>
        <v>10.68</v>
      </c>
      <c r="J11" s="14">
        <v>11.0</v>
      </c>
      <c r="K11" s="15">
        <f>H11/C11</f>
        <v>0.3894736842</v>
      </c>
      <c r="L11" s="16">
        <f>J11/C11</f>
        <v>0.1157894737</v>
      </c>
      <c r="M11" s="17">
        <v>0.0</v>
      </c>
      <c r="N11" s="17">
        <v>0.0</v>
      </c>
      <c r="O11" s="17">
        <v>11.0</v>
      </c>
      <c r="P11" s="17">
        <v>0.0</v>
      </c>
      <c r="Q11" s="17">
        <v>0.0</v>
      </c>
      <c r="R11" s="17">
        <v>14.0</v>
      </c>
      <c r="S11" s="17">
        <v>0.0</v>
      </c>
      <c r="T11" s="17">
        <v>0.0</v>
      </c>
      <c r="U11" s="17">
        <v>6.0</v>
      </c>
      <c r="V11" s="17">
        <v>0.0</v>
      </c>
      <c r="W11" s="17">
        <v>0.0</v>
      </c>
      <c r="X11" s="17">
        <v>0.0</v>
      </c>
      <c r="Y11" s="17">
        <v>0.0</v>
      </c>
      <c r="Z11" s="17">
        <v>6.0</v>
      </c>
      <c r="AA11" s="10">
        <f t="shared" si="4"/>
        <v>37</v>
      </c>
      <c r="AB11" s="19"/>
      <c r="AC11" s="19"/>
      <c r="AD11" s="19"/>
    </row>
    <row r="12">
      <c r="A12" s="20" t="s">
        <v>38</v>
      </c>
      <c r="B12" s="4" t="s">
        <v>29</v>
      </c>
      <c r="C12" s="5">
        <v>0.0</v>
      </c>
      <c r="D12" s="5">
        <v>0.0</v>
      </c>
      <c r="E12" s="5">
        <v>0.0</v>
      </c>
      <c r="F12" s="5">
        <v>0.0</v>
      </c>
      <c r="G12" s="8">
        <v>0.0</v>
      </c>
      <c r="H12" s="5">
        <v>0.0</v>
      </c>
      <c r="I12" s="6">
        <v>0.0</v>
      </c>
      <c r="J12" s="6">
        <v>0.0</v>
      </c>
      <c r="K12" s="7">
        <v>0.0</v>
      </c>
      <c r="L12" s="6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10">
        <f t="shared" si="4"/>
        <v>0</v>
      </c>
    </row>
    <row r="13">
      <c r="A13" s="18" t="s">
        <v>38</v>
      </c>
      <c r="B13" s="12" t="s">
        <v>31</v>
      </c>
      <c r="C13" s="13">
        <v>1105.0</v>
      </c>
      <c r="D13" s="13">
        <v>161399.0</v>
      </c>
      <c r="E13" s="13">
        <v>4217.0</v>
      </c>
      <c r="F13" s="13">
        <v>0.0</v>
      </c>
      <c r="G13" s="16">
        <v>0.0</v>
      </c>
      <c r="H13" s="13">
        <v>0.0</v>
      </c>
      <c r="I13" s="14">
        <v>0.0</v>
      </c>
      <c r="J13" s="14" t="s">
        <v>32</v>
      </c>
      <c r="K13" s="15" t="s">
        <v>32</v>
      </c>
      <c r="L13" s="14" t="s">
        <v>32</v>
      </c>
      <c r="M13" s="17">
        <v>0.0</v>
      </c>
      <c r="N13" s="17">
        <v>0.0</v>
      </c>
      <c r="O13" s="17">
        <v>0.0</v>
      </c>
      <c r="P13" s="17">
        <v>0.0</v>
      </c>
      <c r="Q13" s="17">
        <v>0.0</v>
      </c>
      <c r="R13" s="17">
        <v>0.0</v>
      </c>
      <c r="S13" s="17">
        <v>0.0</v>
      </c>
      <c r="T13" s="17">
        <v>0.0</v>
      </c>
      <c r="U13" s="17">
        <v>0.0</v>
      </c>
      <c r="V13" s="17">
        <v>0.0</v>
      </c>
      <c r="W13" s="17">
        <v>0.0</v>
      </c>
      <c r="X13" s="17">
        <v>0.0</v>
      </c>
      <c r="Y13" s="17">
        <v>0.0</v>
      </c>
      <c r="Z13" s="17">
        <v>0.0</v>
      </c>
      <c r="AA13" s="10">
        <f t="shared" si="4"/>
        <v>0</v>
      </c>
      <c r="AB13" s="19"/>
      <c r="AC13" s="19"/>
      <c r="AD13" s="19"/>
    </row>
    <row r="14">
      <c r="M14" s="22">
        <f t="shared" ref="M14:AA14" si="8">SUM(M2:M13)</f>
        <v>843</v>
      </c>
      <c r="N14" s="22">
        <f t="shared" si="8"/>
        <v>369</v>
      </c>
      <c r="O14" s="22">
        <f t="shared" si="8"/>
        <v>2053</v>
      </c>
      <c r="P14" s="22">
        <f t="shared" si="8"/>
        <v>2826</v>
      </c>
      <c r="Q14" s="22">
        <f t="shared" si="8"/>
        <v>10</v>
      </c>
      <c r="R14" s="22">
        <f t="shared" si="8"/>
        <v>705</v>
      </c>
      <c r="S14" s="22">
        <f t="shared" si="8"/>
        <v>24</v>
      </c>
      <c r="T14" s="22">
        <f t="shared" si="8"/>
        <v>6741</v>
      </c>
      <c r="U14" s="22">
        <f t="shared" si="8"/>
        <v>3889</v>
      </c>
      <c r="V14" s="22">
        <f t="shared" si="8"/>
        <v>1002</v>
      </c>
      <c r="W14" s="22">
        <f t="shared" si="8"/>
        <v>394</v>
      </c>
      <c r="X14" s="22">
        <f t="shared" si="8"/>
        <v>303</v>
      </c>
      <c r="Y14" s="22">
        <f t="shared" si="8"/>
        <v>436</v>
      </c>
      <c r="Z14" s="22">
        <f t="shared" si="8"/>
        <v>306</v>
      </c>
      <c r="AA14" s="10">
        <f t="shared" si="8"/>
        <v>19901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5.75"/>
    <col customWidth="1" min="6" max="7" width="11.0"/>
    <col customWidth="1" min="8" max="8" width="9.38"/>
    <col customWidth="1" min="9" max="9" width="14.88"/>
    <col customWidth="1" min="10" max="10" width="19.13"/>
    <col customWidth="1" min="11" max="11" width="10.5"/>
    <col customWidth="1" min="12" max="12" width="17.63"/>
    <col customWidth="1" min="13" max="13" width="14.63"/>
    <col customWidth="1" min="14" max="14" width="17.63"/>
    <col customWidth="1" min="15" max="15" width="14.75"/>
    <col customWidth="1" min="16" max="16" width="14.0"/>
    <col customWidth="1" min="17" max="17" width="18.38"/>
    <col customWidth="1" min="18" max="18" width="23.25"/>
    <col customWidth="1" min="19" max="19" width="19.0"/>
    <col customWidth="1" min="20" max="20" width="21.75"/>
    <col customWidth="1" min="21" max="21" width="13.0"/>
    <col customWidth="1" min="22" max="22" width="12.25"/>
    <col customWidth="1" min="23" max="23" width="22.25"/>
    <col customWidth="1" min="24" max="24" width="17.63"/>
    <col customWidth="1" min="25" max="25" width="15.6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1" t="s">
        <v>9</v>
      </c>
      <c r="J1" s="1" t="s">
        <v>40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>
      <c r="A2" s="3" t="s">
        <v>27</v>
      </c>
      <c r="B2" s="6">
        <v>58.0</v>
      </c>
      <c r="C2" s="6">
        <v>12096.0</v>
      </c>
      <c r="D2" s="6">
        <v>191.0</v>
      </c>
      <c r="E2" s="6">
        <v>1935.0</v>
      </c>
      <c r="F2" s="6" t="s">
        <v>28</v>
      </c>
      <c r="G2" s="6">
        <v>100.0</v>
      </c>
      <c r="H2" s="7">
        <f t="shared" ref="H2:H3" si="1">TRUNC(G2/(C2/1000),2)</f>
        <v>8.26</v>
      </c>
      <c r="I2" s="6">
        <v>12.0</v>
      </c>
      <c r="J2" s="6">
        <f t="shared" ref="J2:J3" si="2">TRUNC(AVERAGE(G2/B2), 2)</f>
        <v>1.72</v>
      </c>
      <c r="K2" s="8">
        <f t="shared" ref="K2:K3" si="3">(I2/B2)</f>
        <v>0.2068965517</v>
      </c>
      <c r="L2" s="6">
        <v>0.0</v>
      </c>
      <c r="M2" s="6">
        <v>0.0</v>
      </c>
      <c r="N2" s="6">
        <v>66.0</v>
      </c>
      <c r="O2" s="6">
        <v>0.0</v>
      </c>
      <c r="P2" s="6">
        <v>0.0</v>
      </c>
      <c r="Q2" s="6">
        <v>21.0</v>
      </c>
      <c r="R2" s="6">
        <v>0.0</v>
      </c>
      <c r="S2" s="6">
        <v>0.0</v>
      </c>
      <c r="T2" s="6">
        <v>0.0</v>
      </c>
      <c r="U2" s="6">
        <v>12.0</v>
      </c>
      <c r="V2" s="6">
        <v>0.0</v>
      </c>
      <c r="W2" s="6">
        <v>0.0</v>
      </c>
      <c r="X2" s="6">
        <v>0.0</v>
      </c>
      <c r="Y2" s="6">
        <v>1.0</v>
      </c>
    </row>
    <row r="3">
      <c r="A3" s="11" t="s">
        <v>29</v>
      </c>
      <c r="B3" s="14">
        <v>351.0</v>
      </c>
      <c r="C3" s="14">
        <v>391780.0</v>
      </c>
      <c r="D3" s="14">
        <v>2742.0</v>
      </c>
      <c r="E3" s="14">
        <v>36360.0</v>
      </c>
      <c r="F3" s="14" t="s">
        <v>30</v>
      </c>
      <c r="G3" s="14">
        <v>18002.0</v>
      </c>
      <c r="H3" s="15">
        <f t="shared" si="1"/>
        <v>45.94</v>
      </c>
      <c r="I3" s="14">
        <v>245.0</v>
      </c>
      <c r="J3" s="14">
        <f t="shared" si="2"/>
        <v>51.28</v>
      </c>
      <c r="K3" s="16">
        <f t="shared" si="3"/>
        <v>0.698005698</v>
      </c>
      <c r="L3" s="14">
        <v>843.0</v>
      </c>
      <c r="M3" s="14">
        <v>368.0</v>
      </c>
      <c r="N3" s="14">
        <v>1312.0</v>
      </c>
      <c r="O3" s="14">
        <v>2826.0</v>
      </c>
      <c r="P3" s="14">
        <v>9.0</v>
      </c>
      <c r="Q3" s="14">
        <v>165.0</v>
      </c>
      <c r="R3" s="14">
        <v>22.0</v>
      </c>
      <c r="S3" s="14">
        <v>6719.0</v>
      </c>
      <c r="T3" s="14">
        <v>3699.0</v>
      </c>
      <c r="U3" s="14">
        <v>859.0</v>
      </c>
      <c r="V3" s="14">
        <v>344.0</v>
      </c>
      <c r="W3" s="14">
        <v>298.0</v>
      </c>
      <c r="X3" s="14">
        <v>436.0</v>
      </c>
      <c r="Y3" s="14">
        <v>102.0</v>
      </c>
    </row>
    <row r="4">
      <c r="A4" s="3" t="s">
        <v>31</v>
      </c>
      <c r="B4" s="6">
        <v>0.0</v>
      </c>
      <c r="C4" s="6">
        <v>0.0</v>
      </c>
      <c r="D4" s="6">
        <v>0.0</v>
      </c>
      <c r="E4" s="6" t="s">
        <v>32</v>
      </c>
      <c r="F4" s="6" t="s">
        <v>32</v>
      </c>
      <c r="G4" s="6" t="s">
        <v>32</v>
      </c>
      <c r="H4" s="7">
        <v>0.0</v>
      </c>
      <c r="I4" s="6" t="s">
        <v>32</v>
      </c>
      <c r="J4" s="6">
        <v>0.0</v>
      </c>
      <c r="K4" s="8">
        <v>0.0</v>
      </c>
      <c r="L4" s="6" t="s">
        <v>32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</row>
    <row r="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5.0"/>
    <col customWidth="1" min="4" max="4" width="7.25"/>
    <col customWidth="1" min="5" max="5" width="15.75"/>
    <col customWidth="1" min="6" max="7" width="11.0"/>
    <col customWidth="1" min="8" max="8" width="9.38"/>
    <col customWidth="1" min="9" max="9" width="14.88"/>
    <col customWidth="1" min="10" max="10" width="19.13"/>
    <col customWidth="1" min="11" max="11" width="10.5"/>
    <col customWidth="1" min="12" max="12" width="17.63"/>
    <col customWidth="1" min="13" max="13" width="14.63"/>
    <col customWidth="1" min="14" max="14" width="17.63"/>
    <col customWidth="1" min="15" max="15" width="14.75"/>
    <col customWidth="1" min="16" max="16" width="14.0"/>
    <col customWidth="1" min="17" max="17" width="18.38"/>
    <col customWidth="1" min="18" max="18" width="23.25"/>
    <col customWidth="1" min="19" max="19" width="19.0"/>
    <col customWidth="1" min="20" max="20" width="21.75"/>
    <col customWidth="1" min="21" max="21" width="13.0"/>
    <col customWidth="1" min="22" max="22" width="12.25"/>
    <col customWidth="1" min="23" max="23" width="22.25"/>
    <col customWidth="1" min="24" max="24" width="17.63"/>
    <col customWidth="1" min="25" max="25" width="14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40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>
      <c r="A2" s="3" t="s">
        <v>27</v>
      </c>
      <c r="B2" s="6">
        <v>676.0</v>
      </c>
      <c r="C2" s="6">
        <v>140353.0</v>
      </c>
      <c r="D2" s="6">
        <v>1559.0</v>
      </c>
      <c r="E2" s="6">
        <v>46856.0</v>
      </c>
      <c r="F2" s="6" t="s">
        <v>34</v>
      </c>
      <c r="G2" s="6">
        <v>1018.0</v>
      </c>
      <c r="H2" s="6">
        <f t="shared" ref="H2:H3" si="1">TRUNC(G2/(C2/1000),2)</f>
        <v>7.25</v>
      </c>
      <c r="I2" s="6">
        <v>147.0</v>
      </c>
      <c r="J2" s="6">
        <f t="shared" ref="J2:J3" si="2">TRUNC(AVERAGE(G2/B2),2)</f>
        <v>1.5</v>
      </c>
      <c r="K2" s="8">
        <f t="shared" ref="K2:K3" si="3">(I2/B2)</f>
        <v>0.2174556213</v>
      </c>
      <c r="L2" s="6">
        <v>0.0</v>
      </c>
      <c r="M2" s="6">
        <v>0.0</v>
      </c>
      <c r="N2" s="6">
        <v>377.0</v>
      </c>
      <c r="O2" s="6">
        <v>0.0</v>
      </c>
      <c r="P2" s="6">
        <v>0.0</v>
      </c>
      <c r="Q2" s="6">
        <v>431.0</v>
      </c>
      <c r="R2" s="6">
        <v>0.0</v>
      </c>
      <c r="S2" s="6">
        <v>0.0</v>
      </c>
      <c r="T2" s="6">
        <v>116.0</v>
      </c>
      <c r="U2" s="6">
        <v>42.0</v>
      </c>
      <c r="V2" s="6">
        <v>4.0</v>
      </c>
      <c r="W2" s="6">
        <v>0.0</v>
      </c>
      <c r="X2" s="6">
        <v>0.0</v>
      </c>
      <c r="Y2" s="6">
        <v>48.0</v>
      </c>
    </row>
    <row r="3">
      <c r="A3" s="11" t="s">
        <v>29</v>
      </c>
      <c r="B3" s="14">
        <v>64.0</v>
      </c>
      <c r="C3" s="14">
        <v>12848.0</v>
      </c>
      <c r="D3" s="14">
        <v>6.0</v>
      </c>
      <c r="E3" s="14">
        <v>3649.0</v>
      </c>
      <c r="F3" s="14" t="s">
        <v>35</v>
      </c>
      <c r="G3" s="14">
        <v>130.0</v>
      </c>
      <c r="H3" s="14">
        <f t="shared" si="1"/>
        <v>10.11</v>
      </c>
      <c r="I3" s="14">
        <v>25.0</v>
      </c>
      <c r="J3" s="14">
        <f t="shared" si="2"/>
        <v>2.03</v>
      </c>
      <c r="K3" s="16">
        <f t="shared" si="3"/>
        <v>0.390625</v>
      </c>
      <c r="L3" s="14">
        <v>0.0</v>
      </c>
      <c r="M3" s="14">
        <v>1.0</v>
      </c>
      <c r="N3" s="14">
        <v>59.0</v>
      </c>
      <c r="O3" s="14">
        <v>0.0</v>
      </c>
      <c r="P3" s="14">
        <v>0.0</v>
      </c>
      <c r="Q3" s="14">
        <v>0.0</v>
      </c>
      <c r="R3" s="14">
        <v>2.0</v>
      </c>
      <c r="S3" s="14">
        <v>15.0</v>
      </c>
      <c r="T3" s="14">
        <v>33.0</v>
      </c>
      <c r="U3" s="14">
        <v>15.0</v>
      </c>
      <c r="V3" s="14">
        <v>0.0</v>
      </c>
      <c r="W3" s="14">
        <v>5.0</v>
      </c>
      <c r="X3" s="14">
        <v>0.0</v>
      </c>
      <c r="Y3" s="14">
        <v>0.0</v>
      </c>
    </row>
    <row r="4">
      <c r="A4" s="3" t="s">
        <v>31</v>
      </c>
      <c r="B4" s="6">
        <v>212.0</v>
      </c>
      <c r="C4" s="6">
        <v>43764.0</v>
      </c>
      <c r="D4" s="6">
        <v>653.0</v>
      </c>
      <c r="E4" s="6" t="s">
        <v>32</v>
      </c>
      <c r="F4" s="6" t="s">
        <v>32</v>
      </c>
      <c r="G4" s="6" t="s">
        <v>32</v>
      </c>
      <c r="H4" s="6">
        <v>0.0</v>
      </c>
      <c r="I4" s="6"/>
      <c r="J4" s="6" t="s">
        <v>32</v>
      </c>
      <c r="K4" s="8">
        <f>(I4/B4)*100</f>
        <v>0</v>
      </c>
      <c r="L4" s="6" t="s">
        <v>32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5.0"/>
    <col customWidth="1" min="4" max="4" width="7.25"/>
    <col customWidth="1" min="5" max="5" width="15.75"/>
    <col customWidth="1" min="6" max="7" width="11.0"/>
    <col customWidth="1" min="8" max="8" width="9.38"/>
    <col customWidth="1" min="9" max="9" width="14.88"/>
    <col customWidth="1" min="10" max="10" width="19.13"/>
    <col customWidth="1" min="11" max="11" width="10.5"/>
    <col customWidth="1" min="12" max="12" width="17.63"/>
    <col customWidth="1" min="13" max="13" width="14.63"/>
    <col customWidth="1" min="14" max="14" width="17.63"/>
    <col customWidth="1" min="15" max="15" width="14.75"/>
    <col customWidth="1" min="16" max="16" width="14.0"/>
    <col customWidth="1" min="17" max="17" width="18.38"/>
    <col customWidth="1" min="18" max="18" width="23.25"/>
    <col customWidth="1" min="19" max="19" width="19.0"/>
    <col customWidth="1" min="20" max="20" width="21.75"/>
    <col customWidth="1" min="21" max="21" width="13.0"/>
    <col customWidth="1" min="22" max="22" width="12.25"/>
    <col customWidth="1" min="23" max="23" width="22.25"/>
    <col customWidth="1" min="24" max="24" width="17.63"/>
    <col customWidth="1" min="25" max="25" width="14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40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>
      <c r="A2" s="3" t="s">
        <v>27</v>
      </c>
      <c r="B2" s="6">
        <v>299.0</v>
      </c>
      <c r="C2" s="6">
        <v>37775.0</v>
      </c>
      <c r="D2" s="6">
        <v>466.0</v>
      </c>
      <c r="E2" s="6">
        <v>7717.0</v>
      </c>
      <c r="F2" s="6" t="s">
        <v>37</v>
      </c>
      <c r="G2" s="6">
        <v>614.0</v>
      </c>
      <c r="H2" s="6">
        <f>TRUNC(G2/(C2/1000),2)</f>
        <v>16.25</v>
      </c>
      <c r="I2" s="6">
        <v>76.0</v>
      </c>
      <c r="J2" s="6">
        <f>TRUNC(AVERAGE(G2/B2),2)</f>
        <v>2.05</v>
      </c>
      <c r="K2" s="8">
        <f>(I2/B2)</f>
        <v>0.254180602</v>
      </c>
      <c r="L2" s="6">
        <v>0.0</v>
      </c>
      <c r="M2" s="6">
        <v>0.0</v>
      </c>
      <c r="N2" s="6">
        <v>228.0</v>
      </c>
      <c r="O2" s="6">
        <v>0.0</v>
      </c>
      <c r="P2" s="6">
        <v>1.0</v>
      </c>
      <c r="Q2" s="6">
        <v>74.0</v>
      </c>
      <c r="R2" s="6">
        <v>0.0</v>
      </c>
      <c r="S2" s="6">
        <v>7.0</v>
      </c>
      <c r="T2" s="6">
        <v>35.0</v>
      </c>
      <c r="U2" s="6">
        <v>74.0</v>
      </c>
      <c r="V2" s="6">
        <v>46.0</v>
      </c>
      <c r="W2" s="6">
        <v>0.0</v>
      </c>
      <c r="X2" s="6">
        <v>0.0</v>
      </c>
      <c r="Y2" s="6">
        <v>149.0</v>
      </c>
    </row>
    <row r="3">
      <c r="A3" s="11" t="s">
        <v>29</v>
      </c>
      <c r="B3" s="14">
        <v>0.0</v>
      </c>
      <c r="C3" s="14">
        <v>0.0</v>
      </c>
      <c r="D3" s="14">
        <v>0.0</v>
      </c>
      <c r="E3" s="14">
        <v>0.0</v>
      </c>
      <c r="F3" s="21">
        <v>0.0</v>
      </c>
      <c r="G3" s="14">
        <v>0.0</v>
      </c>
      <c r="H3" s="14">
        <v>0.0</v>
      </c>
      <c r="I3" s="14">
        <v>0.0</v>
      </c>
      <c r="J3" s="14"/>
      <c r="K3" s="16"/>
      <c r="L3" s="14" t="s">
        <v>32</v>
      </c>
      <c r="M3" s="14" t="s">
        <v>32</v>
      </c>
      <c r="N3" s="14" t="s">
        <v>32</v>
      </c>
      <c r="O3" s="14" t="s">
        <v>32</v>
      </c>
      <c r="P3" s="14" t="s">
        <v>32</v>
      </c>
      <c r="Q3" s="14" t="s">
        <v>32</v>
      </c>
      <c r="R3" s="14" t="s">
        <v>32</v>
      </c>
      <c r="S3" s="14" t="s">
        <v>32</v>
      </c>
      <c r="T3" s="14" t="s">
        <v>32</v>
      </c>
      <c r="U3" s="14" t="s">
        <v>32</v>
      </c>
      <c r="V3" s="14" t="s">
        <v>32</v>
      </c>
      <c r="W3" s="14" t="s">
        <v>32</v>
      </c>
      <c r="X3" s="14" t="s">
        <v>32</v>
      </c>
      <c r="Y3" s="14" t="s">
        <v>32</v>
      </c>
    </row>
    <row r="4">
      <c r="A4" s="3" t="s">
        <v>31</v>
      </c>
      <c r="B4" s="6">
        <v>13.0</v>
      </c>
      <c r="C4" s="6">
        <v>753.0</v>
      </c>
      <c r="D4" s="6">
        <v>4.0</v>
      </c>
      <c r="E4" s="6" t="s">
        <v>32</v>
      </c>
      <c r="F4" s="6" t="s">
        <v>32</v>
      </c>
      <c r="G4" s="6" t="s">
        <v>32</v>
      </c>
      <c r="H4" s="6" t="s">
        <v>32</v>
      </c>
      <c r="I4" s="6" t="s">
        <v>32</v>
      </c>
      <c r="J4" s="6"/>
      <c r="K4" s="8"/>
      <c r="L4" s="6" t="s">
        <v>32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25"/>
    <col customWidth="1" min="3" max="3" width="15.0"/>
    <col customWidth="1" min="4" max="4" width="7.25"/>
    <col customWidth="1" min="5" max="5" width="15.75"/>
    <col customWidth="1" min="6" max="7" width="11.0"/>
    <col customWidth="1" min="8" max="8" width="9.38"/>
    <col customWidth="1" min="9" max="9" width="14.88"/>
    <col customWidth="1" min="10" max="10" width="19.13"/>
    <col customWidth="1" min="11" max="11" width="10.5"/>
    <col customWidth="1" min="12" max="12" width="17.63"/>
    <col customWidth="1" min="13" max="13" width="14.63"/>
    <col customWidth="1" min="14" max="14" width="17.63"/>
    <col customWidth="1" min="15" max="15" width="14.75"/>
    <col customWidth="1" min="16" max="16" width="14.0"/>
    <col customWidth="1" min="17" max="17" width="18.38"/>
    <col customWidth="1" min="18" max="18" width="23.25"/>
    <col customWidth="1" min="19" max="19" width="19.0"/>
    <col customWidth="1" min="20" max="20" width="21.75"/>
    <col customWidth="1" min="21" max="21" width="13.0"/>
    <col customWidth="1" min="22" max="22" width="12.25"/>
    <col customWidth="1" min="23" max="23" width="22.25"/>
    <col customWidth="1" min="24" max="24" width="17.63"/>
    <col customWidth="1" min="25" max="25" width="14.3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40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>
      <c r="A2" s="3" t="s">
        <v>27</v>
      </c>
      <c r="B2" s="6">
        <v>95.0</v>
      </c>
      <c r="C2" s="6">
        <v>3462.0</v>
      </c>
      <c r="D2" s="6">
        <v>133.0</v>
      </c>
      <c r="E2" s="6">
        <v>1465.0</v>
      </c>
      <c r="F2" s="6" t="s">
        <v>39</v>
      </c>
      <c r="G2" s="6">
        <v>37.0</v>
      </c>
      <c r="H2" s="6">
        <f>TRUNC(G2/(C2/1000),2)</f>
        <v>10.68</v>
      </c>
      <c r="I2" s="6">
        <v>11.0</v>
      </c>
      <c r="J2" s="6">
        <f>TRUNC(AVERAGE(G2/B2),2)</f>
        <v>0.38</v>
      </c>
      <c r="K2" s="8">
        <f>(I2/B2)</f>
        <v>0.1157894737</v>
      </c>
      <c r="L2" s="6">
        <v>0.0</v>
      </c>
      <c r="M2" s="6">
        <v>0.0</v>
      </c>
      <c r="N2" s="6">
        <v>11.0</v>
      </c>
      <c r="O2" s="6">
        <v>0.0</v>
      </c>
      <c r="P2" s="6">
        <v>0.0</v>
      </c>
      <c r="Q2" s="6">
        <v>14.0</v>
      </c>
      <c r="R2" s="6">
        <v>0.0</v>
      </c>
      <c r="S2" s="6">
        <v>0.0</v>
      </c>
      <c r="T2" s="6">
        <v>6.0</v>
      </c>
      <c r="U2" s="6">
        <v>0.0</v>
      </c>
      <c r="V2" s="6">
        <v>0.0</v>
      </c>
      <c r="W2" s="6">
        <v>0.0</v>
      </c>
      <c r="X2" s="6">
        <v>0.0</v>
      </c>
      <c r="Y2" s="6">
        <v>6.0</v>
      </c>
    </row>
    <row r="3">
      <c r="A3" s="11" t="s">
        <v>29</v>
      </c>
      <c r="B3" s="14">
        <v>0.0</v>
      </c>
      <c r="C3" s="14">
        <v>0.0</v>
      </c>
      <c r="D3" s="14">
        <v>0.0</v>
      </c>
      <c r="E3" s="14">
        <v>0.0</v>
      </c>
      <c r="F3" s="14">
        <v>0.0</v>
      </c>
      <c r="G3" s="14">
        <v>0.0</v>
      </c>
      <c r="H3" s="14">
        <v>0.0</v>
      </c>
      <c r="I3" s="14">
        <v>0.0</v>
      </c>
      <c r="J3" s="14"/>
      <c r="K3" s="14"/>
      <c r="L3" s="14" t="s">
        <v>32</v>
      </c>
      <c r="M3" s="14" t="s">
        <v>32</v>
      </c>
      <c r="N3" s="14" t="s">
        <v>32</v>
      </c>
      <c r="O3" s="14" t="s">
        <v>32</v>
      </c>
      <c r="P3" s="14" t="s">
        <v>32</v>
      </c>
      <c r="Q3" s="14" t="s">
        <v>32</v>
      </c>
      <c r="R3" s="14" t="s">
        <v>32</v>
      </c>
      <c r="S3" s="14" t="s">
        <v>32</v>
      </c>
      <c r="T3" s="14" t="s">
        <v>32</v>
      </c>
      <c r="U3" s="14" t="s">
        <v>32</v>
      </c>
      <c r="V3" s="14" t="s">
        <v>32</v>
      </c>
      <c r="W3" s="14" t="s">
        <v>32</v>
      </c>
      <c r="X3" s="14" t="s">
        <v>32</v>
      </c>
      <c r="Y3" s="14" t="s">
        <v>32</v>
      </c>
    </row>
    <row r="4">
      <c r="A4" s="3" t="s">
        <v>31</v>
      </c>
      <c r="B4" s="6">
        <v>1105.0</v>
      </c>
      <c r="C4" s="6">
        <v>161399.0</v>
      </c>
      <c r="D4" s="6">
        <v>4217.0</v>
      </c>
      <c r="E4" s="6" t="s">
        <v>32</v>
      </c>
      <c r="F4" s="6" t="s">
        <v>32</v>
      </c>
      <c r="G4" s="6" t="s">
        <v>32</v>
      </c>
      <c r="H4" s="6" t="s">
        <v>32</v>
      </c>
      <c r="I4" s="6" t="s">
        <v>41</v>
      </c>
      <c r="J4" s="6"/>
      <c r="K4" s="6"/>
      <c r="L4" s="6" t="s">
        <v>32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</row>
    <row r="9">
      <c r="Y9" s="24" t="s">
        <v>42</v>
      </c>
    </row>
  </sheetData>
  <drawing r:id="rId1"/>
</worksheet>
</file>