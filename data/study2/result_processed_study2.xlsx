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SQLite - master" sheetId="2" r:id="rId6"/>
    <sheet state="visible" name="SQLite - version-3.50.0" sheetId="3" r:id="rId7"/>
    <sheet state="visible" name="SQLite - version-3.40.0" sheetId="4" r:id="rId8"/>
    <sheet state="visible" name="SQLite - version-3.30.0" sheetId="5" r:id="rId9"/>
    <sheet state="visible" name="SQLite - version-3.20.0" sheetId="6" r:id="rId10"/>
    <sheet state="visible" name="SQLite - version 3.10.0" sheetId="7" r:id="rId11"/>
  </sheets>
  <definedNames/>
  <calcPr/>
</workbook>
</file>

<file path=xl/sharedStrings.xml><?xml version="1.0" encoding="utf-8"?>
<sst xmlns="http://schemas.openxmlformats.org/spreadsheetml/2006/main" count="177" uniqueCount="35">
  <si>
    <t>Versão</t>
  </si>
  <si>
    <t>Linguagem</t>
  </si>
  <si>
    <t>Arquivos</t>
  </si>
  <si>
    <t>Linhas de Código</t>
  </si>
  <si>
    <t>Classes</t>
  </si>
  <si>
    <t>Qtd. Átomos</t>
  </si>
  <si>
    <t>Delta Qtd. Átomos Relativo Ver. Anterior</t>
  </si>
  <si>
    <t>Densidade</t>
  </si>
  <si>
    <t>Delta Densidade Relativo Ver. Anterior</t>
  </si>
  <si>
    <t>Delta Densidade Relativo a 3.10.0</t>
  </si>
  <si>
    <t>Arq. com Átomos</t>
  </si>
  <si>
    <t>Átomos/Arquivo</t>
  </si>
  <si>
    <t>Propagação</t>
  </si>
  <si>
    <t>Assignment as Value</t>
  </si>
  <si>
    <t>Comma Operator</t>
  </si>
  <si>
    <t>Conditional Operator</t>
  </si>
  <si>
    <t>Implicit Predicate</t>
  </si>
  <si>
    <t>Literal Encoding</t>
  </si>
  <si>
    <t>Logic as Control Flow</t>
  </si>
  <si>
    <t>Macro Operator Precedence</t>
  </si>
  <si>
    <t>Ommited Curly Braces</t>
  </si>
  <si>
    <t>Infix Operator Precedence</t>
  </si>
  <si>
    <t>Post Increment</t>
  </si>
  <si>
    <t>Pre-Increment</t>
  </si>
  <si>
    <t>Preprocessor in Statement</t>
  </si>
  <si>
    <t>Repurposed Variable</t>
  </si>
  <si>
    <t>Type Conversion</t>
  </si>
  <si>
    <t>master</t>
  </si>
  <si>
    <t>C/C++</t>
  </si>
  <si>
    <t>Java</t>
  </si>
  <si>
    <t>version-3.50.0</t>
  </si>
  <si>
    <t>version-3.40.0</t>
  </si>
  <si>
    <t>version-3.30.0</t>
  </si>
  <si>
    <t>version-3.20.0</t>
  </si>
  <si>
    <t>version-3.10.0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</si>
</sst>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vertical="bottom"/>
    </xf>
    <xf borderId="2" fillId="0" fontId="4" numFmtId="3" xfId="0" applyAlignment="1" applyBorder="1" applyFont="1" applyNumberFormat="1">
      <alignment horizontal="center" readingOrder="0" vertical="bottom"/>
    </xf>
    <xf borderId="1" fillId="0" fontId="4" numFmtId="3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10" xfId="0" applyAlignment="1" applyBorder="1" applyFont="1" applyNumberFormat="1">
      <alignment horizontal="center" readingOrder="0" vertical="bottom"/>
    </xf>
    <xf borderId="1" fillId="0" fontId="4" numFmtId="3" xfId="0" applyAlignment="1" applyBorder="1" applyFont="1" applyNumberFormat="1">
      <alignment horizontal="center" readingOrder="0" vertical="bottom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 vertical="bottom"/>
    </xf>
    <xf borderId="2" fillId="3" fontId="4" numFmtId="3" xfId="0" applyAlignment="1" applyBorder="1" applyFont="1" applyNumberFormat="1">
      <alignment horizontal="center" readingOrder="0" vertical="bottom"/>
    </xf>
    <xf borderId="1" fillId="3" fontId="4" numFmtId="3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10" xfId="0" applyAlignment="1" applyBorder="1" applyFont="1" applyNumberFormat="1">
      <alignment horizontal="center" readingOrder="0" vertical="bottom"/>
    </xf>
    <xf borderId="1" fillId="3" fontId="4" numFmtId="3" xfId="0" applyAlignment="1" applyBorder="1" applyFont="1" applyNumberFormat="1">
      <alignment horizontal="center" readingOrder="0" vertical="bottom"/>
    </xf>
    <xf borderId="0" fillId="0" fontId="5" numFmtId="3" xfId="0" applyFont="1" applyNumberFormat="1"/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 vertical="bottom"/>
    </xf>
    <xf borderId="1" fillId="3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.0"/>
    <col customWidth="1" min="3" max="3" width="8.25"/>
    <col customWidth="1" min="4" max="4" width="15.0"/>
    <col customWidth="1" min="5" max="5" width="7.25"/>
    <col customWidth="1" min="6" max="6" width="11.0"/>
    <col customWidth="1" min="7" max="7" width="32.88"/>
    <col customWidth="1" min="8" max="8" width="9.38"/>
    <col customWidth="1" min="9" max="9" width="31.25"/>
    <col customWidth="1" min="10" max="10" width="27.38"/>
    <col customWidth="1" min="11" max="11" width="14.88"/>
    <col customWidth="1" min="12" max="12" width="14.0"/>
    <col customWidth="1" min="13" max="13" width="10.5"/>
    <col customWidth="1" min="14" max="14" width="17.63"/>
    <col customWidth="1" min="15" max="15" width="14.63"/>
    <col customWidth="1" min="16" max="16" width="17.63"/>
    <col customWidth="1" min="17" max="17" width="14.75"/>
    <col customWidth="1" min="18" max="18" width="14.0"/>
    <col customWidth="1" min="19" max="19" width="18.38"/>
    <col customWidth="1" min="20" max="20" width="23.25"/>
    <col customWidth="1" min="21" max="21" width="19.0"/>
    <col customWidth="1" min="22" max="22" width="21.75"/>
    <col customWidth="1" min="23" max="23" width="13.0"/>
    <col customWidth="1" min="24" max="24" width="12.25"/>
    <col customWidth="1" min="25" max="25" width="22.25"/>
    <col customWidth="1" min="26" max="26" width="17.63"/>
    <col customWidth="1" min="27" max="27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4" t="s">
        <v>27</v>
      </c>
      <c r="B2" s="5" t="s">
        <v>28</v>
      </c>
      <c r="C2" s="6">
        <v>351.0</v>
      </c>
      <c r="D2" s="7">
        <v>391780.0</v>
      </c>
      <c r="E2" s="7">
        <v>2742.0</v>
      </c>
      <c r="F2" s="7">
        <v>18002.0</v>
      </c>
      <c r="G2" s="7">
        <f t="shared" ref="G2:G6" si="1">IFERROR(F2 - VLOOKUP(B2, $B3:$F1004, 5, 0), 0)</f>
        <v>-1070</v>
      </c>
      <c r="H2" s="8">
        <f t="shared" ref="H2:H6" si="2">TRUNC(F2/(D2/1000),2)</f>
        <v>45.94</v>
      </c>
      <c r="I2" s="8">
        <f t="shared" ref="I2:I6" si="3">IFERROR(H2 - VLOOKUP(B2, $B3:$H1004, 7, 0), 0)</f>
        <v>-0.3</v>
      </c>
      <c r="J2" s="8">
        <f t="shared" ref="J2:J3" si="4">H2 - SUMIFS($H:$H, $A:$A, "version-3.10.0", $B:$B, B2)</f>
        <v>1.68</v>
      </c>
      <c r="K2" s="8">
        <v>245.0</v>
      </c>
      <c r="L2" s="8">
        <f t="shared" ref="L2:L6" si="5">TRUNC((F2/C2),2)</f>
        <v>51.28</v>
      </c>
      <c r="M2" s="9">
        <f t="shared" ref="M2:M6" si="6">K2/C2</f>
        <v>0.698005698</v>
      </c>
      <c r="N2" s="10">
        <v>843.0</v>
      </c>
      <c r="O2" s="10">
        <v>368.0</v>
      </c>
      <c r="P2" s="10">
        <v>1312.0</v>
      </c>
      <c r="Q2" s="10">
        <v>2826.0</v>
      </c>
      <c r="R2" s="10">
        <v>9.0</v>
      </c>
      <c r="S2" s="10">
        <v>165.0</v>
      </c>
      <c r="T2" s="10">
        <v>22.0</v>
      </c>
      <c r="U2" s="10">
        <v>6719.0</v>
      </c>
      <c r="V2" s="10">
        <v>3699.0</v>
      </c>
      <c r="W2" s="10">
        <v>859.0</v>
      </c>
      <c r="X2" s="10">
        <v>344.0</v>
      </c>
      <c r="Y2" s="10">
        <v>298.0</v>
      </c>
      <c r="Z2" s="10">
        <v>436.0</v>
      </c>
      <c r="AA2" s="10">
        <v>102.0</v>
      </c>
    </row>
    <row r="3">
      <c r="A3" s="11" t="s">
        <v>27</v>
      </c>
      <c r="B3" s="12" t="s">
        <v>29</v>
      </c>
      <c r="C3" s="13">
        <v>58.0</v>
      </c>
      <c r="D3" s="14">
        <v>12096.0</v>
      </c>
      <c r="E3" s="14">
        <v>191.0</v>
      </c>
      <c r="F3" s="14">
        <v>100.0</v>
      </c>
      <c r="G3" s="14">
        <f t="shared" si="1"/>
        <v>0</v>
      </c>
      <c r="H3" s="15">
        <f t="shared" si="2"/>
        <v>8.26</v>
      </c>
      <c r="I3" s="15">
        <f t="shared" si="3"/>
        <v>-0.02</v>
      </c>
      <c r="J3" s="15">
        <f t="shared" si="4"/>
        <v>8.26</v>
      </c>
      <c r="K3" s="15">
        <v>12.0</v>
      </c>
      <c r="L3" s="15">
        <f t="shared" si="5"/>
        <v>1.72</v>
      </c>
      <c r="M3" s="16">
        <f t="shared" si="6"/>
        <v>0.2068965517</v>
      </c>
      <c r="N3" s="17">
        <v>0.0</v>
      </c>
      <c r="O3" s="17">
        <v>0.0</v>
      </c>
      <c r="P3" s="17">
        <v>66.0</v>
      </c>
      <c r="Q3" s="17">
        <v>0.0</v>
      </c>
      <c r="R3" s="17">
        <v>0.0</v>
      </c>
      <c r="S3" s="17">
        <v>21.0</v>
      </c>
      <c r="T3" s="17">
        <v>0.0</v>
      </c>
      <c r="U3" s="17">
        <v>0.0</v>
      </c>
      <c r="V3" s="17">
        <v>0.0</v>
      </c>
      <c r="W3" s="17">
        <v>12.0</v>
      </c>
      <c r="X3" s="17">
        <v>0.0</v>
      </c>
      <c r="Y3" s="17">
        <v>0.0</v>
      </c>
      <c r="Z3" s="17">
        <v>0.0</v>
      </c>
      <c r="AA3" s="17">
        <v>1.0</v>
      </c>
    </row>
    <row r="4">
      <c r="A4" s="4" t="s">
        <v>30</v>
      </c>
      <c r="B4" s="5" t="s">
        <v>28</v>
      </c>
      <c r="C4" s="6">
        <v>390.0</v>
      </c>
      <c r="D4" s="7">
        <v>412404.0</v>
      </c>
      <c r="E4" s="7">
        <v>2979.0</v>
      </c>
      <c r="F4" s="7">
        <v>19072.0</v>
      </c>
      <c r="G4" s="7">
        <f t="shared" si="1"/>
        <v>2385</v>
      </c>
      <c r="H4" s="8">
        <f t="shared" si="2"/>
        <v>46.24</v>
      </c>
      <c r="I4" s="8">
        <f t="shared" si="3"/>
        <v>1.62</v>
      </c>
      <c r="J4" s="8">
        <f t="shared" ref="J4:J5" si="7">H4 - SUMIFS($H:$H, $A:$A, "version-3.10.0", $B:$B, B2)</f>
        <v>1.98</v>
      </c>
      <c r="K4" s="8">
        <v>276.0</v>
      </c>
      <c r="L4" s="8">
        <f t="shared" si="5"/>
        <v>48.9</v>
      </c>
      <c r="M4" s="9">
        <f t="shared" si="6"/>
        <v>0.7076923077</v>
      </c>
      <c r="N4" s="10">
        <v>872.0</v>
      </c>
      <c r="O4" s="10">
        <v>368.0</v>
      </c>
      <c r="P4" s="10">
        <v>1387.0</v>
      </c>
      <c r="Q4" s="10">
        <v>2964.0</v>
      </c>
      <c r="R4" s="10">
        <v>9.0</v>
      </c>
      <c r="S4" s="10">
        <v>163.0</v>
      </c>
      <c r="T4" s="10">
        <v>22.0</v>
      </c>
      <c r="U4" s="10">
        <v>7125.0</v>
      </c>
      <c r="V4" s="10">
        <v>4052.0</v>
      </c>
      <c r="W4" s="10">
        <v>932.0</v>
      </c>
      <c r="X4" s="10">
        <v>344.0</v>
      </c>
      <c r="Y4" s="10">
        <v>288.0</v>
      </c>
      <c r="Z4" s="10">
        <v>438.0</v>
      </c>
      <c r="AA4" s="10">
        <v>108.0</v>
      </c>
    </row>
    <row r="5">
      <c r="A5" s="11" t="s">
        <v>30</v>
      </c>
      <c r="B5" s="12" t="s">
        <v>29</v>
      </c>
      <c r="C5" s="13">
        <v>58.0</v>
      </c>
      <c r="D5" s="14">
        <v>12075.0</v>
      </c>
      <c r="E5" s="14">
        <v>191.0</v>
      </c>
      <c r="F5" s="14">
        <v>100.0</v>
      </c>
      <c r="G5" s="14">
        <f t="shared" si="1"/>
        <v>100</v>
      </c>
      <c r="H5" s="15">
        <f t="shared" si="2"/>
        <v>8.28</v>
      </c>
      <c r="I5" s="15">
        <f t="shared" si="3"/>
        <v>8.28</v>
      </c>
      <c r="J5" s="15">
        <f t="shared" si="7"/>
        <v>8.28</v>
      </c>
      <c r="K5" s="15">
        <v>12.0</v>
      </c>
      <c r="L5" s="15">
        <f t="shared" si="5"/>
        <v>1.72</v>
      </c>
      <c r="M5" s="16">
        <f t="shared" si="6"/>
        <v>0.2068965517</v>
      </c>
      <c r="N5" s="17">
        <v>0.0</v>
      </c>
      <c r="O5" s="17">
        <v>0.0</v>
      </c>
      <c r="P5" s="17">
        <v>66.0</v>
      </c>
      <c r="Q5" s="17">
        <v>0.0</v>
      </c>
      <c r="R5" s="17">
        <v>0.0</v>
      </c>
      <c r="S5" s="17">
        <v>21.0</v>
      </c>
      <c r="T5" s="17">
        <v>0.0</v>
      </c>
      <c r="U5" s="17">
        <v>0.0</v>
      </c>
      <c r="V5" s="17">
        <v>0.0</v>
      </c>
      <c r="W5" s="17">
        <v>12.0</v>
      </c>
      <c r="X5" s="17">
        <v>0.0</v>
      </c>
      <c r="Y5" s="17">
        <v>0.0</v>
      </c>
      <c r="Z5" s="17">
        <v>0.0</v>
      </c>
      <c r="AA5" s="17">
        <v>1.0</v>
      </c>
    </row>
    <row r="6">
      <c r="A6" s="4" t="s">
        <v>31</v>
      </c>
      <c r="B6" s="5" t="s">
        <v>28</v>
      </c>
      <c r="C6" s="6">
        <v>409.0</v>
      </c>
      <c r="D6" s="7">
        <v>373912.0</v>
      </c>
      <c r="E6" s="7">
        <v>2721.0</v>
      </c>
      <c r="F6" s="7">
        <v>16687.0</v>
      </c>
      <c r="G6" s="7">
        <f t="shared" si="1"/>
        <v>1586</v>
      </c>
      <c r="H6" s="8">
        <f t="shared" si="2"/>
        <v>44.62</v>
      </c>
      <c r="I6" s="8">
        <f t="shared" si="3"/>
        <v>0.72</v>
      </c>
      <c r="J6" s="8">
        <f>H6 - SUMIFS($H:$H, $A:$A, "version-3.10.0", $B:$B, B2)</f>
        <v>0.36</v>
      </c>
      <c r="K6" s="8">
        <v>281.0</v>
      </c>
      <c r="L6" s="8">
        <f t="shared" si="5"/>
        <v>40.79</v>
      </c>
      <c r="M6" s="9">
        <f t="shared" si="6"/>
        <v>0.6870415648</v>
      </c>
      <c r="N6" s="10">
        <v>806.0</v>
      </c>
      <c r="O6" s="10">
        <v>362.0</v>
      </c>
      <c r="P6" s="10">
        <v>1151.0</v>
      </c>
      <c r="Q6" s="10">
        <v>2293.0</v>
      </c>
      <c r="R6" s="10">
        <v>7.0</v>
      </c>
      <c r="S6" s="10">
        <v>153.0</v>
      </c>
      <c r="T6" s="10">
        <v>7.0</v>
      </c>
      <c r="U6" s="10">
        <v>6341.0</v>
      </c>
      <c r="V6" s="10">
        <v>3794.0</v>
      </c>
      <c r="W6" s="10">
        <v>792.0</v>
      </c>
      <c r="X6" s="10">
        <v>310.0</v>
      </c>
      <c r="Y6" s="10">
        <v>208.0</v>
      </c>
      <c r="Z6" s="10">
        <v>358.0</v>
      </c>
      <c r="AA6" s="10">
        <v>105.0</v>
      </c>
    </row>
    <row r="7">
      <c r="A7" s="11" t="s">
        <v>31</v>
      </c>
      <c r="B7" s="12" t="s">
        <v>29</v>
      </c>
      <c r="C7" s="13">
        <v>0.0</v>
      </c>
      <c r="D7" s="14">
        <v>0.0</v>
      </c>
      <c r="E7" s="14">
        <v>0.0</v>
      </c>
      <c r="F7" s="14">
        <v>0.0</v>
      </c>
      <c r="G7" s="14">
        <v>0.0</v>
      </c>
      <c r="H7" s="15">
        <v>0.0</v>
      </c>
      <c r="I7" s="15">
        <v>0.0</v>
      </c>
      <c r="J7" s="15">
        <v>0.0</v>
      </c>
      <c r="K7" s="15">
        <v>0.0</v>
      </c>
      <c r="L7" s="15">
        <v>0.0</v>
      </c>
      <c r="M7" s="15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7">
        <v>0.0</v>
      </c>
    </row>
    <row r="8">
      <c r="A8" s="4" t="s">
        <v>32</v>
      </c>
      <c r="B8" s="5" t="s">
        <v>28</v>
      </c>
      <c r="C8" s="6">
        <v>385.0</v>
      </c>
      <c r="D8" s="7">
        <v>343927.0</v>
      </c>
      <c r="E8" s="7">
        <v>2671.0</v>
      </c>
      <c r="F8" s="7">
        <v>15101.0</v>
      </c>
      <c r="G8" s="7">
        <f>IFERROR(F8 - VLOOKUP(B8, $B9:$F1004, 5, 0), 0)</f>
        <v>1269</v>
      </c>
      <c r="H8" s="8">
        <f>TRUNC(F8/(D8/1000),2)</f>
        <v>43.9</v>
      </c>
      <c r="I8" s="8">
        <f>IFERROR(H8 - VLOOKUP(B8, $B9:$H1004, 7, 0), 0)</f>
        <v>-0.32</v>
      </c>
      <c r="J8" s="8">
        <f>H8 - SUMIFS($H:$H, $A:$A, "version-3.10.0", $B:$B, B2)</f>
        <v>-0.36</v>
      </c>
      <c r="K8" s="8">
        <v>262.0</v>
      </c>
      <c r="L8" s="8">
        <f>TRUNC((F8/C8),2)</f>
        <v>39.22</v>
      </c>
      <c r="M8" s="9">
        <f>K8/C8</f>
        <v>0.6805194805</v>
      </c>
      <c r="N8" s="10">
        <v>761.0</v>
      </c>
      <c r="O8" s="10">
        <v>333.0</v>
      </c>
      <c r="P8" s="10">
        <v>1069.0</v>
      </c>
      <c r="Q8" s="10">
        <v>2131.0</v>
      </c>
      <c r="R8" s="10">
        <v>7.0</v>
      </c>
      <c r="S8" s="10">
        <v>140.0</v>
      </c>
      <c r="T8" s="10">
        <v>9.0</v>
      </c>
      <c r="U8" s="10">
        <v>5510.0</v>
      </c>
      <c r="V8" s="10">
        <v>3531.0</v>
      </c>
      <c r="W8" s="10">
        <v>747.0</v>
      </c>
      <c r="X8" s="10">
        <v>265.0</v>
      </c>
      <c r="Y8" s="10">
        <v>166.0</v>
      </c>
      <c r="Z8" s="10">
        <v>335.0</v>
      </c>
      <c r="AA8" s="10">
        <v>97.0</v>
      </c>
    </row>
    <row r="9">
      <c r="A9" s="11" t="s">
        <v>32</v>
      </c>
      <c r="B9" s="12" t="s">
        <v>29</v>
      </c>
      <c r="C9" s="13">
        <v>0.0</v>
      </c>
      <c r="D9" s="14">
        <v>0.0</v>
      </c>
      <c r="E9" s="14">
        <v>0.0</v>
      </c>
      <c r="F9" s="14">
        <v>0.0</v>
      </c>
      <c r="G9" s="14">
        <v>0.0</v>
      </c>
      <c r="H9" s="15">
        <v>0.0</v>
      </c>
      <c r="I9" s="15">
        <v>0.0</v>
      </c>
      <c r="J9" s="15">
        <v>0.0</v>
      </c>
      <c r="K9" s="15">
        <v>0.0</v>
      </c>
      <c r="L9" s="15">
        <v>0.0</v>
      </c>
      <c r="M9" s="15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7">
        <v>0.0</v>
      </c>
    </row>
    <row r="10">
      <c r="A10" s="4" t="s">
        <v>33</v>
      </c>
      <c r="B10" s="5" t="s">
        <v>28</v>
      </c>
      <c r="C10" s="6">
        <v>345.0</v>
      </c>
      <c r="D10" s="7">
        <v>312784.0</v>
      </c>
      <c r="E10" s="7">
        <v>2443.0</v>
      </c>
      <c r="F10" s="7">
        <v>13832.0</v>
      </c>
      <c r="G10" s="7">
        <f>IFERROR(F10 - VLOOKUP(B10, $B11:$F1004, 5, 0), 0)</f>
        <v>2760</v>
      </c>
      <c r="H10" s="8">
        <f>TRUNC(F10/(D10/1000),2)</f>
        <v>44.22</v>
      </c>
      <c r="I10" s="8">
        <f>IFERROR(H10 - VLOOKUP(B10, $B11:$H1004, 7, 0), 0)</f>
        <v>-0.04</v>
      </c>
      <c r="J10" s="8">
        <f>H10 - SUMIFS($H:$H, $A:$A, "version-3.10.0", $B:$B, B2)</f>
        <v>-0.04</v>
      </c>
      <c r="K10" s="8">
        <v>230.0</v>
      </c>
      <c r="L10" s="8">
        <f>TRUNC((F10/C10),2)</f>
        <v>40.09</v>
      </c>
      <c r="M10" s="9">
        <f>K10/C10</f>
        <v>0.6666666667</v>
      </c>
      <c r="N10" s="10">
        <v>721.0</v>
      </c>
      <c r="O10" s="10">
        <v>324.0</v>
      </c>
      <c r="P10" s="10">
        <v>946.0</v>
      </c>
      <c r="Q10" s="10">
        <v>1907.0</v>
      </c>
      <c r="R10" s="10">
        <v>6.0</v>
      </c>
      <c r="S10" s="10">
        <v>121.0</v>
      </c>
      <c r="T10" s="10">
        <v>11.0</v>
      </c>
      <c r="U10" s="10">
        <v>5032.0</v>
      </c>
      <c r="V10" s="10">
        <v>3290.0</v>
      </c>
      <c r="W10" s="10">
        <v>739.0</v>
      </c>
      <c r="X10" s="10">
        <v>221.0</v>
      </c>
      <c r="Y10" s="10">
        <v>147.0</v>
      </c>
      <c r="Z10" s="10">
        <v>292.0</v>
      </c>
      <c r="AA10" s="10">
        <v>85.0</v>
      </c>
    </row>
    <row r="11">
      <c r="A11" s="11" t="s">
        <v>33</v>
      </c>
      <c r="B11" s="12" t="s">
        <v>29</v>
      </c>
      <c r="C11" s="13">
        <v>0.0</v>
      </c>
      <c r="D11" s="14">
        <v>0.0</v>
      </c>
      <c r="E11" s="14">
        <v>0.0</v>
      </c>
      <c r="F11" s="14">
        <v>0.0</v>
      </c>
      <c r="G11" s="14">
        <v>0.0</v>
      </c>
      <c r="H11" s="15">
        <v>0.0</v>
      </c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7">
        <v>0.0</v>
      </c>
      <c r="O11" s="17">
        <v>0.0</v>
      </c>
      <c r="P11" s="17">
        <v>0.0</v>
      </c>
      <c r="Q11" s="17">
        <v>0.0</v>
      </c>
      <c r="R11" s="17">
        <v>0.0</v>
      </c>
      <c r="S11" s="17">
        <v>0.0</v>
      </c>
      <c r="T11" s="17">
        <v>0.0</v>
      </c>
      <c r="U11" s="17">
        <v>0.0</v>
      </c>
      <c r="V11" s="17">
        <v>0.0</v>
      </c>
      <c r="W11" s="17">
        <v>0.0</v>
      </c>
      <c r="X11" s="17">
        <v>0.0</v>
      </c>
      <c r="Y11" s="17">
        <v>0.0</v>
      </c>
      <c r="Z11" s="17">
        <v>0.0</v>
      </c>
      <c r="AA11" s="17">
        <v>0.0</v>
      </c>
    </row>
    <row r="12">
      <c r="A12" s="4" t="s">
        <v>34</v>
      </c>
      <c r="B12" s="5" t="s">
        <v>28</v>
      </c>
      <c r="C12" s="6">
        <v>272.0</v>
      </c>
      <c r="D12" s="7">
        <v>250129.0</v>
      </c>
      <c r="E12" s="7">
        <v>1985.0</v>
      </c>
      <c r="F12" s="7">
        <v>11072.0</v>
      </c>
      <c r="G12" s="7">
        <f>IFERROR(F12 - VLOOKUP(B12, $B13:$F1004, 5, 0), 0)</f>
        <v>0</v>
      </c>
      <c r="H12" s="8">
        <f>TRUNC(F12/(D12/1000),2)</f>
        <v>44.26</v>
      </c>
      <c r="I12" s="8">
        <f>IFERROR(H12 - VLOOKUP(B12, $B13:$H1004, 7, 0), 0)</f>
        <v>0</v>
      </c>
      <c r="J12" s="8">
        <f>H12 - SUMIFS($H:$H, $A:$A, "version-3.10.0", $B:$B, B2)</f>
        <v>0</v>
      </c>
      <c r="K12" s="8">
        <v>178.0</v>
      </c>
      <c r="L12" s="8">
        <f>TRUNC((F12/C12),2)</f>
        <v>40.7</v>
      </c>
      <c r="M12" s="9">
        <f>K12/C12</f>
        <v>0.6544117647</v>
      </c>
      <c r="N12" s="10">
        <v>616.0</v>
      </c>
      <c r="O12" s="10">
        <v>321.0</v>
      </c>
      <c r="P12" s="10">
        <v>752.0</v>
      </c>
      <c r="Q12" s="10">
        <v>1436.0</v>
      </c>
      <c r="R12" s="10">
        <v>4.0</v>
      </c>
      <c r="S12" s="10">
        <v>104.0</v>
      </c>
      <c r="T12" s="10">
        <v>7.0</v>
      </c>
      <c r="U12" s="10">
        <v>3954.0</v>
      </c>
      <c r="V12" s="10">
        <v>2715.0</v>
      </c>
      <c r="W12" s="10">
        <v>595.0</v>
      </c>
      <c r="X12" s="10">
        <v>186.0</v>
      </c>
      <c r="Y12" s="10">
        <v>53.0</v>
      </c>
      <c r="Z12" s="10">
        <v>251.0</v>
      </c>
      <c r="AA12" s="10">
        <v>78.0</v>
      </c>
    </row>
    <row r="13">
      <c r="A13" s="11" t="s">
        <v>34</v>
      </c>
      <c r="B13" s="12" t="s">
        <v>29</v>
      </c>
      <c r="C13" s="13">
        <v>0.0</v>
      </c>
      <c r="D13" s="14">
        <v>0.0</v>
      </c>
      <c r="E13" s="14">
        <v>0.0</v>
      </c>
      <c r="F13" s="14">
        <v>0.0</v>
      </c>
      <c r="G13" s="14">
        <v>0.0</v>
      </c>
      <c r="H13" s="15">
        <v>0.0</v>
      </c>
      <c r="I13" s="15">
        <v>0.0</v>
      </c>
      <c r="J13" s="15">
        <v>0.0</v>
      </c>
      <c r="K13" s="15">
        <v>0.0</v>
      </c>
      <c r="L13" s="15">
        <v>0.0</v>
      </c>
      <c r="M13" s="15">
        <v>0.0</v>
      </c>
      <c r="N13" s="17">
        <v>0.0</v>
      </c>
      <c r="O13" s="17">
        <v>0.0</v>
      </c>
      <c r="P13" s="17">
        <v>0.0</v>
      </c>
      <c r="Q13" s="17">
        <v>0.0</v>
      </c>
      <c r="R13" s="17">
        <v>0.0</v>
      </c>
      <c r="S13" s="17">
        <v>0.0</v>
      </c>
      <c r="T13" s="17">
        <v>0.0</v>
      </c>
      <c r="U13" s="17">
        <v>0.0</v>
      </c>
      <c r="V13" s="17">
        <v>0.0</v>
      </c>
      <c r="W13" s="17">
        <v>0.0</v>
      </c>
      <c r="X13" s="17">
        <v>0.0</v>
      </c>
      <c r="Y13" s="17">
        <v>0.0</v>
      </c>
      <c r="Z13" s="17">
        <v>0.0</v>
      </c>
      <c r="AA13" s="17">
        <v>0.0</v>
      </c>
    </row>
    <row r="14">
      <c r="N14" s="18">
        <f t="shared" ref="N14:AA14" si="8">SUM(N2:N13)</f>
        <v>4619</v>
      </c>
      <c r="O14" s="18">
        <f t="shared" si="8"/>
        <v>2076</v>
      </c>
      <c r="P14" s="18">
        <f t="shared" si="8"/>
        <v>6749</v>
      </c>
      <c r="Q14" s="18">
        <f t="shared" si="8"/>
        <v>13557</v>
      </c>
      <c r="R14" s="18">
        <f t="shared" si="8"/>
        <v>42</v>
      </c>
      <c r="S14" s="18">
        <f t="shared" si="8"/>
        <v>888</v>
      </c>
      <c r="T14" s="18">
        <f t="shared" si="8"/>
        <v>78</v>
      </c>
      <c r="U14" s="18">
        <f t="shared" si="8"/>
        <v>34681</v>
      </c>
      <c r="V14" s="18">
        <f t="shared" si="8"/>
        <v>21081</v>
      </c>
      <c r="W14" s="18">
        <f t="shared" si="8"/>
        <v>4688</v>
      </c>
      <c r="X14" s="18">
        <f t="shared" si="8"/>
        <v>1670</v>
      </c>
      <c r="Y14" s="18">
        <f t="shared" si="8"/>
        <v>1160</v>
      </c>
      <c r="Z14" s="18">
        <f t="shared" si="8"/>
        <v>2110</v>
      </c>
      <c r="AA14" s="18">
        <f t="shared" si="8"/>
        <v>577</v>
      </c>
    </row>
    <row r="16">
      <c r="N16" s="19">
        <v>1.7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25"/>
    <col customWidth="1" min="3" max="3" width="15.0"/>
    <col customWidth="1" min="4" max="4" width="7.25"/>
    <col customWidth="1" min="5" max="5" width="11.0"/>
    <col customWidth="1" min="6" max="6" width="17.63"/>
    <col customWidth="1" min="7" max="7" width="14.63"/>
    <col customWidth="1" min="8" max="8" width="17.63"/>
    <col customWidth="1" min="9" max="9" width="14.75"/>
    <col customWidth="1" min="10" max="10" width="14.0"/>
    <col customWidth="1" min="11" max="11" width="18.38"/>
    <col customWidth="1" min="12" max="12" width="23.25"/>
    <col customWidth="1" min="13" max="13" width="19.0"/>
    <col customWidth="1" min="14" max="14" width="21.75"/>
    <col customWidth="1" min="15" max="15" width="13.0"/>
    <col customWidth="1" min="16" max="16" width="12.25"/>
    <col customWidth="1" min="17" max="17" width="22.25"/>
    <col customWidth="1" min="18" max="18" width="17.63"/>
    <col customWidth="1" min="19" max="19" width="14.3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>
      <c r="A2" s="20" t="s">
        <v>28</v>
      </c>
      <c r="B2" s="8">
        <v>351.0</v>
      </c>
      <c r="C2" s="8">
        <v>391780.0</v>
      </c>
      <c r="D2" s="8">
        <v>2742.0</v>
      </c>
      <c r="E2" s="8">
        <v>18002.0</v>
      </c>
      <c r="F2" s="8">
        <v>843.0</v>
      </c>
      <c r="G2" s="8">
        <v>368.0</v>
      </c>
      <c r="H2" s="8">
        <v>1312.0</v>
      </c>
      <c r="I2" s="8">
        <v>2826.0</v>
      </c>
      <c r="J2" s="8">
        <v>9.0</v>
      </c>
      <c r="K2" s="8">
        <v>165.0</v>
      </c>
      <c r="L2" s="8">
        <v>22.0</v>
      </c>
      <c r="M2" s="8">
        <v>6719.0</v>
      </c>
      <c r="N2" s="8">
        <v>3699.0</v>
      </c>
      <c r="O2" s="8">
        <v>859.0</v>
      </c>
      <c r="P2" s="8">
        <v>344.0</v>
      </c>
      <c r="Q2" s="8">
        <v>298.0</v>
      </c>
      <c r="R2" s="8">
        <v>436.0</v>
      </c>
      <c r="S2" s="8">
        <v>102.0</v>
      </c>
    </row>
    <row r="3">
      <c r="A3" s="21" t="s">
        <v>29</v>
      </c>
      <c r="B3" s="15">
        <v>58.0</v>
      </c>
      <c r="C3" s="15">
        <v>12096.0</v>
      </c>
      <c r="D3" s="15">
        <v>191.0</v>
      </c>
      <c r="E3" s="15">
        <v>100.0</v>
      </c>
      <c r="F3" s="15">
        <v>0.0</v>
      </c>
      <c r="G3" s="15">
        <v>0.0</v>
      </c>
      <c r="H3" s="15">
        <v>66.0</v>
      </c>
      <c r="I3" s="15">
        <v>0.0</v>
      </c>
      <c r="J3" s="15">
        <v>0.0</v>
      </c>
      <c r="K3" s="15">
        <v>21.0</v>
      </c>
      <c r="L3" s="15">
        <v>0.0</v>
      </c>
      <c r="M3" s="15">
        <v>0.0</v>
      </c>
      <c r="N3" s="15">
        <v>0.0</v>
      </c>
      <c r="O3" s="15">
        <v>12.0</v>
      </c>
      <c r="P3" s="15">
        <v>0.0</v>
      </c>
      <c r="Q3" s="15">
        <v>0.0</v>
      </c>
      <c r="R3" s="15">
        <v>0.0</v>
      </c>
      <c r="S3" s="15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25"/>
    <col customWidth="1" min="3" max="3" width="15.0"/>
    <col customWidth="1" min="4" max="4" width="7.25"/>
    <col customWidth="1" min="5" max="5" width="11.0"/>
    <col customWidth="1" min="6" max="6" width="17.63"/>
    <col customWidth="1" min="7" max="7" width="14.63"/>
    <col customWidth="1" min="8" max="8" width="17.63"/>
    <col customWidth="1" min="9" max="9" width="14.75"/>
    <col customWidth="1" min="10" max="10" width="14.0"/>
    <col customWidth="1" min="11" max="11" width="18.38"/>
    <col customWidth="1" min="12" max="12" width="23.25"/>
    <col customWidth="1" min="13" max="13" width="19.0"/>
    <col customWidth="1" min="14" max="14" width="21.75"/>
    <col customWidth="1" min="15" max="15" width="13.0"/>
    <col customWidth="1" min="16" max="16" width="12.25"/>
    <col customWidth="1" min="17" max="17" width="22.25"/>
    <col customWidth="1" min="18" max="18" width="17.63"/>
    <col customWidth="1" min="19" max="19" width="14.3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>
      <c r="A2" s="20" t="s">
        <v>28</v>
      </c>
      <c r="B2" s="8">
        <v>390.0</v>
      </c>
      <c r="C2" s="8">
        <v>412404.0</v>
      </c>
      <c r="D2" s="8">
        <v>2979.0</v>
      </c>
      <c r="E2" s="8">
        <v>19072.0</v>
      </c>
      <c r="F2" s="8">
        <v>872.0</v>
      </c>
      <c r="G2" s="8">
        <v>368.0</v>
      </c>
      <c r="H2" s="8">
        <v>1387.0</v>
      </c>
      <c r="I2" s="8">
        <v>2964.0</v>
      </c>
      <c r="J2" s="8">
        <v>9.0</v>
      </c>
      <c r="K2" s="8">
        <v>163.0</v>
      </c>
      <c r="L2" s="8">
        <v>22.0</v>
      </c>
      <c r="M2" s="8">
        <v>7125.0</v>
      </c>
      <c r="N2" s="8">
        <v>4052.0</v>
      </c>
      <c r="O2" s="8">
        <v>932.0</v>
      </c>
      <c r="P2" s="8">
        <v>344.0</v>
      </c>
      <c r="Q2" s="8">
        <v>288.0</v>
      </c>
      <c r="R2" s="8">
        <v>438.0</v>
      </c>
      <c r="S2" s="8">
        <v>108.0</v>
      </c>
    </row>
    <row r="3">
      <c r="A3" s="21" t="s">
        <v>29</v>
      </c>
      <c r="B3" s="15">
        <v>58.0</v>
      </c>
      <c r="C3" s="15">
        <v>12075.0</v>
      </c>
      <c r="D3" s="15">
        <v>191.0</v>
      </c>
      <c r="E3" s="15">
        <v>100.0</v>
      </c>
      <c r="F3" s="15">
        <v>0.0</v>
      </c>
      <c r="G3" s="15">
        <v>0.0</v>
      </c>
      <c r="H3" s="15">
        <v>66.0</v>
      </c>
      <c r="I3" s="15">
        <v>0.0</v>
      </c>
      <c r="J3" s="15">
        <v>0.0</v>
      </c>
      <c r="K3" s="15">
        <v>21.0</v>
      </c>
      <c r="L3" s="15">
        <v>0.0</v>
      </c>
      <c r="M3" s="15">
        <v>0.0</v>
      </c>
      <c r="N3" s="15">
        <v>0.0</v>
      </c>
      <c r="O3" s="15">
        <v>12.0</v>
      </c>
      <c r="P3" s="15">
        <v>0.0</v>
      </c>
      <c r="Q3" s="15">
        <v>0.0</v>
      </c>
      <c r="R3" s="15">
        <v>0.0</v>
      </c>
      <c r="S3" s="15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25"/>
    <col customWidth="1" min="3" max="3" width="15.0"/>
    <col customWidth="1" min="4" max="4" width="7.25"/>
    <col customWidth="1" min="5" max="5" width="11.0"/>
    <col customWidth="1" min="6" max="6" width="17.63"/>
    <col customWidth="1" min="7" max="7" width="14.63"/>
    <col customWidth="1" min="8" max="8" width="17.63"/>
    <col customWidth="1" min="9" max="9" width="14.75"/>
    <col customWidth="1" min="10" max="10" width="14.0"/>
    <col customWidth="1" min="11" max="11" width="18.38"/>
    <col customWidth="1" min="12" max="12" width="23.25"/>
    <col customWidth="1" min="13" max="13" width="19.0"/>
    <col customWidth="1" min="14" max="14" width="21.75"/>
    <col customWidth="1" min="15" max="15" width="13.0"/>
    <col customWidth="1" min="16" max="16" width="12.25"/>
    <col customWidth="1" min="17" max="17" width="22.25"/>
    <col customWidth="1" min="18" max="18" width="17.63"/>
    <col customWidth="1" min="19" max="19" width="14.3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>
      <c r="A2" s="20" t="s">
        <v>28</v>
      </c>
      <c r="B2" s="8">
        <v>409.0</v>
      </c>
      <c r="C2" s="8">
        <v>373912.0</v>
      </c>
      <c r="D2" s="8">
        <v>2721.0</v>
      </c>
      <c r="E2" s="8">
        <v>16687.0</v>
      </c>
      <c r="F2" s="8">
        <v>806.0</v>
      </c>
      <c r="G2" s="8">
        <v>362.0</v>
      </c>
      <c r="H2" s="8">
        <v>1151.0</v>
      </c>
      <c r="I2" s="8">
        <v>2293.0</v>
      </c>
      <c r="J2" s="8">
        <v>7.0</v>
      </c>
      <c r="K2" s="8">
        <v>153.0</v>
      </c>
      <c r="L2" s="8">
        <v>7.0</v>
      </c>
      <c r="M2" s="8">
        <v>6341.0</v>
      </c>
      <c r="N2" s="8">
        <v>3794.0</v>
      </c>
      <c r="O2" s="8">
        <v>792.0</v>
      </c>
      <c r="P2" s="8">
        <v>310.0</v>
      </c>
      <c r="Q2" s="8">
        <v>208.0</v>
      </c>
      <c r="R2" s="8">
        <v>358.0</v>
      </c>
      <c r="S2" s="8">
        <v>105.0</v>
      </c>
    </row>
    <row r="3">
      <c r="A3" s="21" t="s">
        <v>29</v>
      </c>
      <c r="B3" s="15">
        <v>0.0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5">
        <v>0.0</v>
      </c>
      <c r="S3" s="15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25"/>
    <col customWidth="1" min="3" max="3" width="15.0"/>
    <col customWidth="1" min="4" max="4" width="7.25"/>
    <col customWidth="1" min="5" max="5" width="11.0"/>
    <col customWidth="1" min="6" max="6" width="17.63"/>
    <col customWidth="1" min="7" max="7" width="14.63"/>
    <col customWidth="1" min="8" max="8" width="17.63"/>
    <col customWidth="1" min="9" max="9" width="14.75"/>
    <col customWidth="1" min="10" max="10" width="14.0"/>
    <col customWidth="1" min="11" max="11" width="18.38"/>
    <col customWidth="1" min="12" max="12" width="23.25"/>
    <col customWidth="1" min="13" max="13" width="19.0"/>
    <col customWidth="1" min="14" max="14" width="21.75"/>
    <col customWidth="1" min="15" max="15" width="13.0"/>
    <col customWidth="1" min="16" max="16" width="12.25"/>
    <col customWidth="1" min="17" max="17" width="22.25"/>
    <col customWidth="1" min="18" max="18" width="17.63"/>
    <col customWidth="1" min="19" max="19" width="14.3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>
      <c r="A2" s="20" t="s">
        <v>28</v>
      </c>
      <c r="B2" s="8">
        <v>385.0</v>
      </c>
      <c r="C2" s="8">
        <v>343927.0</v>
      </c>
      <c r="D2" s="8">
        <v>2671.0</v>
      </c>
      <c r="E2" s="8">
        <v>15101.0</v>
      </c>
      <c r="F2" s="8">
        <v>761.0</v>
      </c>
      <c r="G2" s="8">
        <v>333.0</v>
      </c>
      <c r="H2" s="8">
        <v>1069.0</v>
      </c>
      <c r="I2" s="8">
        <v>2131.0</v>
      </c>
      <c r="J2" s="8">
        <v>7.0</v>
      </c>
      <c r="K2" s="8">
        <v>140.0</v>
      </c>
      <c r="L2" s="8">
        <v>9.0</v>
      </c>
      <c r="M2" s="8">
        <v>5510.0</v>
      </c>
      <c r="N2" s="8">
        <v>3531.0</v>
      </c>
      <c r="O2" s="8">
        <v>747.0</v>
      </c>
      <c r="P2" s="8">
        <v>265.0</v>
      </c>
      <c r="Q2" s="8">
        <v>166.0</v>
      </c>
      <c r="R2" s="8">
        <v>335.0</v>
      </c>
      <c r="S2" s="8">
        <v>97.0</v>
      </c>
    </row>
    <row r="3">
      <c r="A3" s="21" t="s">
        <v>29</v>
      </c>
      <c r="B3" s="15">
        <v>0.0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5">
        <v>0.0</v>
      </c>
      <c r="S3" s="15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25"/>
    <col customWidth="1" min="3" max="3" width="15.0"/>
    <col customWidth="1" min="4" max="4" width="7.25"/>
    <col customWidth="1" min="5" max="5" width="11.0"/>
    <col customWidth="1" min="6" max="6" width="17.63"/>
    <col customWidth="1" min="7" max="7" width="14.63"/>
    <col customWidth="1" min="8" max="8" width="17.63"/>
    <col customWidth="1" min="9" max="9" width="14.75"/>
    <col customWidth="1" min="10" max="10" width="14.0"/>
    <col customWidth="1" min="11" max="11" width="18.38"/>
    <col customWidth="1" min="12" max="12" width="23.25"/>
    <col customWidth="1" min="13" max="13" width="19.0"/>
    <col customWidth="1" min="14" max="14" width="21.75"/>
    <col customWidth="1" min="15" max="15" width="13.0"/>
    <col customWidth="1" min="16" max="16" width="12.25"/>
    <col customWidth="1" min="17" max="17" width="22.25"/>
    <col customWidth="1" min="18" max="18" width="17.63"/>
    <col customWidth="1" min="19" max="19" width="14.3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>
      <c r="A2" s="20" t="s">
        <v>28</v>
      </c>
      <c r="B2" s="8">
        <v>345.0</v>
      </c>
      <c r="C2" s="8">
        <v>312784.0</v>
      </c>
      <c r="D2" s="8">
        <v>2443.0</v>
      </c>
      <c r="E2" s="8">
        <v>13832.0</v>
      </c>
      <c r="F2" s="8">
        <v>721.0</v>
      </c>
      <c r="G2" s="8">
        <v>324.0</v>
      </c>
      <c r="H2" s="8">
        <v>946.0</v>
      </c>
      <c r="I2" s="8">
        <v>1907.0</v>
      </c>
      <c r="J2" s="8">
        <v>6.0</v>
      </c>
      <c r="K2" s="8">
        <v>121.0</v>
      </c>
      <c r="L2" s="8">
        <v>11.0</v>
      </c>
      <c r="M2" s="8">
        <v>5032.0</v>
      </c>
      <c r="N2" s="8">
        <v>3290.0</v>
      </c>
      <c r="O2" s="8">
        <v>739.0</v>
      </c>
      <c r="P2" s="8">
        <v>221.0</v>
      </c>
      <c r="Q2" s="8">
        <v>147.0</v>
      </c>
      <c r="R2" s="8">
        <v>292.0</v>
      </c>
      <c r="S2" s="8">
        <v>85.0</v>
      </c>
    </row>
    <row r="3">
      <c r="A3" s="21" t="s">
        <v>29</v>
      </c>
      <c r="B3" s="15">
        <v>0.0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5">
        <v>0.0</v>
      </c>
      <c r="S3" s="15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25"/>
    <col customWidth="1" min="3" max="3" width="15.0"/>
    <col customWidth="1" min="4" max="4" width="7.25"/>
    <col customWidth="1" min="5" max="5" width="11.0"/>
    <col customWidth="1" min="6" max="6" width="17.63"/>
    <col customWidth="1" min="7" max="7" width="14.63"/>
    <col customWidth="1" min="8" max="8" width="17.63"/>
    <col customWidth="1" min="9" max="9" width="14.75"/>
    <col customWidth="1" min="10" max="10" width="14.0"/>
    <col customWidth="1" min="11" max="11" width="18.38"/>
    <col customWidth="1" min="12" max="12" width="23.25"/>
    <col customWidth="1" min="13" max="13" width="19.0"/>
    <col customWidth="1" min="14" max="14" width="21.75"/>
    <col customWidth="1" min="15" max="15" width="13.0"/>
    <col customWidth="1" min="16" max="16" width="12.25"/>
    <col customWidth="1" min="17" max="17" width="22.25"/>
    <col customWidth="1" min="18" max="18" width="17.63"/>
    <col customWidth="1" min="19" max="19" width="14.3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>
      <c r="A2" s="20" t="s">
        <v>28</v>
      </c>
      <c r="B2" s="8">
        <v>272.0</v>
      </c>
      <c r="C2" s="8">
        <v>250129.0</v>
      </c>
      <c r="D2" s="8">
        <v>1985.0</v>
      </c>
      <c r="E2" s="8">
        <v>11072.0</v>
      </c>
      <c r="F2" s="8">
        <v>616.0</v>
      </c>
      <c r="G2" s="8">
        <v>321.0</v>
      </c>
      <c r="H2" s="8">
        <v>752.0</v>
      </c>
      <c r="I2" s="8">
        <v>1436.0</v>
      </c>
      <c r="J2" s="8">
        <v>4.0</v>
      </c>
      <c r="K2" s="8">
        <v>104.0</v>
      </c>
      <c r="L2" s="8">
        <v>7.0</v>
      </c>
      <c r="M2" s="8">
        <v>3954.0</v>
      </c>
      <c r="N2" s="8">
        <v>2715.0</v>
      </c>
      <c r="O2" s="8">
        <v>595.0</v>
      </c>
      <c r="P2" s="8">
        <v>186.0</v>
      </c>
      <c r="Q2" s="8">
        <v>53.0</v>
      </c>
      <c r="R2" s="8">
        <v>251.0</v>
      </c>
      <c r="S2" s="8">
        <v>78.0</v>
      </c>
    </row>
    <row r="3">
      <c r="A3" s="21" t="s">
        <v>29</v>
      </c>
      <c r="B3" s="15">
        <v>0.0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5">
        <v>0.0</v>
      </c>
      <c r="S3" s="15">
        <v>0.0</v>
      </c>
    </row>
  </sheetData>
  <drawing r:id="rId1"/>
</worksheet>
</file>